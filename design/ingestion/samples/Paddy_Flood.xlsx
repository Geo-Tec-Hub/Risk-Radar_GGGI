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GGGI\FINAL_after_validation\SUBMISSION\WEB\Variables by Sectors\Email_List\4.Paddy Sector_with Dashboard\WP_Paddy_Subsector\"/>
    </mc:Choice>
  </mc:AlternateContent>
  <xr:revisionPtr revIDLastSave="0" documentId="13_ncr:1_{9AA8085E-EA7D-441D-94EA-6B36D197E108}" xr6:coauthVersionLast="47" xr6:coauthVersionMax="47" xr10:uidLastSave="{00000000-0000-0000-0000-000000000000}"/>
  <bookViews>
    <workbookView xWindow="-120" yWindow="-120" windowWidth="20730" windowHeight="11160" tabRatio="911" xr2:uid="{DBC04890-A954-4B81-9A97-CE9FD0FE97DC}"/>
  </bookViews>
  <sheets>
    <sheet name="Weightages_Paddy_Flood" sheetId="15" r:id="rId1"/>
    <sheet name="Flood_Hazard_Data" sheetId="17" r:id="rId2"/>
    <sheet name="WP_Paddy_Flood_Exposure_Data" sheetId="14" r:id="rId3"/>
    <sheet name="Final_Flood" sheetId="20" r:id="rId4"/>
  </sheets>
  <definedNames>
    <definedName name="_xlnm._FilterDatabase" localSheetId="2" hidden="1">WP_Paddy_Flood_Exposure_Data!$A$4:$L$4</definedName>
    <definedName name="_xlnm.Database" localSheetId="2">WP_Paddy_Flood_Exposure_Data!$A$4:$D$44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4" i="17" l="1"/>
  <c r="Z44" i="17"/>
  <c r="AB44" i="17" s="1"/>
  <c r="W44" i="17"/>
  <c r="V44" i="17"/>
  <c r="U44" i="17"/>
  <c r="Q44" i="17"/>
  <c r="P44" i="17"/>
  <c r="O44" i="17"/>
  <c r="N44" i="17"/>
  <c r="M44" i="17"/>
  <c r="L44" i="17"/>
  <c r="AA43" i="17"/>
  <c r="Z43" i="17"/>
  <c r="AB43" i="17" s="1"/>
  <c r="W43" i="17"/>
  <c r="V43" i="17"/>
  <c r="U43" i="17"/>
  <c r="Q43" i="17"/>
  <c r="P43" i="17"/>
  <c r="O43" i="17"/>
  <c r="N43" i="17"/>
  <c r="M43" i="17"/>
  <c r="L43" i="17"/>
  <c r="AA42" i="17"/>
  <c r="Z42" i="17"/>
  <c r="AB42" i="17" s="1"/>
  <c r="W42" i="17"/>
  <c r="V42" i="17"/>
  <c r="U42" i="17"/>
  <c r="Q42" i="17"/>
  <c r="P42" i="17"/>
  <c r="O42" i="17"/>
  <c r="N42" i="17"/>
  <c r="M42" i="17"/>
  <c r="L42" i="17"/>
  <c r="AA41" i="17"/>
  <c r="Z41" i="17"/>
  <c r="AB41" i="17" s="1"/>
  <c r="W41" i="17"/>
  <c r="V41" i="17"/>
  <c r="U41" i="17"/>
  <c r="Q41" i="17"/>
  <c r="P41" i="17"/>
  <c r="O41" i="17"/>
  <c r="N41" i="17"/>
  <c r="M41" i="17"/>
  <c r="L41" i="17"/>
  <c r="AA40" i="17"/>
  <c r="Z40" i="17"/>
  <c r="AB40" i="17" s="1"/>
  <c r="W40" i="17"/>
  <c r="V40" i="17"/>
  <c r="U40" i="17"/>
  <c r="Q40" i="17"/>
  <c r="P40" i="17"/>
  <c r="O40" i="17"/>
  <c r="N40" i="17"/>
  <c r="M40" i="17"/>
  <c r="L40" i="17"/>
  <c r="AA39" i="17"/>
  <c r="Z39" i="17"/>
  <c r="AB39" i="17" s="1"/>
  <c r="W39" i="17"/>
  <c r="V39" i="17"/>
  <c r="U39" i="17"/>
  <c r="Q39" i="17"/>
  <c r="P39" i="17"/>
  <c r="O39" i="17"/>
  <c r="N39" i="17"/>
  <c r="M39" i="17"/>
  <c r="L39" i="17"/>
  <c r="AA38" i="17"/>
  <c r="Z38" i="17"/>
  <c r="AB38" i="17" s="1"/>
  <c r="W38" i="17"/>
  <c r="V38" i="17"/>
  <c r="U38" i="17"/>
  <c r="Q38" i="17"/>
  <c r="P38" i="17"/>
  <c r="O38" i="17"/>
  <c r="N38" i="17"/>
  <c r="M38" i="17"/>
  <c r="L38" i="17"/>
  <c r="AA37" i="17"/>
  <c r="Z37" i="17"/>
  <c r="AB37" i="17" s="1"/>
  <c r="W37" i="17"/>
  <c r="V37" i="17"/>
  <c r="U37" i="17"/>
  <c r="Q37" i="17"/>
  <c r="P37" i="17"/>
  <c r="O37" i="17"/>
  <c r="N37" i="17"/>
  <c r="M37" i="17"/>
  <c r="L37" i="17"/>
  <c r="AA36" i="17"/>
  <c r="Z36" i="17"/>
  <c r="AB36" i="17" s="1"/>
  <c r="W36" i="17"/>
  <c r="V36" i="17"/>
  <c r="U36" i="17"/>
  <c r="Q36" i="17"/>
  <c r="P36" i="17"/>
  <c r="O36" i="17"/>
  <c r="N36" i="17"/>
  <c r="M36" i="17"/>
  <c r="L36" i="17"/>
  <c r="AA35" i="17"/>
  <c r="Z35" i="17"/>
  <c r="AB35" i="17" s="1"/>
  <c r="W35" i="17"/>
  <c r="V35" i="17"/>
  <c r="U35" i="17"/>
  <c r="Q35" i="17"/>
  <c r="P35" i="17"/>
  <c r="O35" i="17"/>
  <c r="N35" i="17"/>
  <c r="M35" i="17"/>
  <c r="L35" i="17"/>
  <c r="AA34" i="17"/>
  <c r="Z34" i="17"/>
  <c r="AB34" i="17" s="1"/>
  <c r="W34" i="17"/>
  <c r="V34" i="17"/>
  <c r="U34" i="17"/>
  <c r="Q34" i="17"/>
  <c r="P34" i="17"/>
  <c r="O34" i="17"/>
  <c r="N34" i="17"/>
  <c r="M34" i="17"/>
  <c r="L34" i="17"/>
  <c r="AA33" i="17"/>
  <c r="Z33" i="17"/>
  <c r="AB33" i="17" s="1"/>
  <c r="W33" i="17"/>
  <c r="V33" i="17"/>
  <c r="U33" i="17"/>
  <c r="Q33" i="17"/>
  <c r="P33" i="17"/>
  <c r="O33" i="17"/>
  <c r="N33" i="17"/>
  <c r="M33" i="17"/>
  <c r="L33" i="17"/>
  <c r="AA32" i="17"/>
  <c r="Z32" i="17"/>
  <c r="AB32" i="17" s="1"/>
  <c r="W32" i="17"/>
  <c r="V32" i="17"/>
  <c r="U32" i="17"/>
  <c r="Q32" i="17"/>
  <c r="P32" i="17"/>
  <c r="O32" i="17"/>
  <c r="N32" i="17"/>
  <c r="M32" i="17"/>
  <c r="L32" i="17"/>
  <c r="AA31" i="17"/>
  <c r="Z31" i="17"/>
  <c r="AB31" i="17" s="1"/>
  <c r="W31" i="17"/>
  <c r="V31" i="17"/>
  <c r="U31" i="17"/>
  <c r="Q31" i="17"/>
  <c r="P31" i="17"/>
  <c r="O31" i="17"/>
  <c r="N31" i="17"/>
  <c r="M31" i="17"/>
  <c r="L31" i="17"/>
  <c r="AA30" i="17"/>
  <c r="Z30" i="17"/>
  <c r="AB30" i="17" s="1"/>
  <c r="W30" i="17"/>
  <c r="V30" i="17"/>
  <c r="U30" i="17"/>
  <c r="Q30" i="17"/>
  <c r="P30" i="17"/>
  <c r="O30" i="17"/>
  <c r="N30" i="17"/>
  <c r="M30" i="17"/>
  <c r="L30" i="17"/>
  <c r="AA29" i="17"/>
  <c r="Z29" i="17"/>
  <c r="AB29" i="17" s="1"/>
  <c r="W29" i="17"/>
  <c r="V29" i="17"/>
  <c r="U29" i="17"/>
  <c r="Q29" i="17"/>
  <c r="P29" i="17"/>
  <c r="O29" i="17"/>
  <c r="N29" i="17"/>
  <c r="M29" i="17"/>
  <c r="L29" i="17"/>
  <c r="AA28" i="17"/>
  <c r="Z28" i="17"/>
  <c r="AB28" i="17" s="1"/>
  <c r="W28" i="17"/>
  <c r="V28" i="17"/>
  <c r="U28" i="17"/>
  <c r="Q28" i="17"/>
  <c r="P28" i="17"/>
  <c r="O28" i="17"/>
  <c r="N28" i="17"/>
  <c r="M28" i="17"/>
  <c r="L28" i="17"/>
  <c r="AA27" i="17"/>
  <c r="Z27" i="17"/>
  <c r="AB27" i="17" s="1"/>
  <c r="W27" i="17"/>
  <c r="V27" i="17"/>
  <c r="U27" i="17"/>
  <c r="Q27" i="17"/>
  <c r="P27" i="17"/>
  <c r="O27" i="17"/>
  <c r="N27" i="17"/>
  <c r="M27" i="17"/>
  <c r="L27" i="17"/>
  <c r="AA26" i="17"/>
  <c r="Z26" i="17"/>
  <c r="AB26" i="17" s="1"/>
  <c r="W26" i="17"/>
  <c r="V26" i="17"/>
  <c r="U26" i="17"/>
  <c r="Q26" i="17"/>
  <c r="P26" i="17"/>
  <c r="O26" i="17"/>
  <c r="N26" i="17"/>
  <c r="M26" i="17"/>
  <c r="L26" i="17"/>
  <c r="AA25" i="17"/>
  <c r="Z25" i="17"/>
  <c r="AB25" i="17" s="1"/>
  <c r="W25" i="17"/>
  <c r="V25" i="17"/>
  <c r="U25" i="17"/>
  <c r="Q25" i="17"/>
  <c r="P25" i="17"/>
  <c r="O25" i="17"/>
  <c r="N25" i="17"/>
  <c r="M25" i="17"/>
  <c r="L25" i="17"/>
  <c r="AA24" i="17"/>
  <c r="Z24" i="17"/>
  <c r="AB24" i="17" s="1"/>
  <c r="W24" i="17"/>
  <c r="V24" i="17"/>
  <c r="U24" i="17"/>
  <c r="Q24" i="17"/>
  <c r="P24" i="17"/>
  <c r="O24" i="17"/>
  <c r="N24" i="17"/>
  <c r="M24" i="17"/>
  <c r="L24" i="17"/>
  <c r="AA23" i="17"/>
  <c r="Z23" i="17"/>
  <c r="AB23" i="17" s="1"/>
  <c r="W23" i="17"/>
  <c r="V23" i="17"/>
  <c r="U23" i="17"/>
  <c r="Q23" i="17"/>
  <c r="P23" i="17"/>
  <c r="O23" i="17"/>
  <c r="N23" i="17"/>
  <c r="M23" i="17"/>
  <c r="L23" i="17"/>
  <c r="AA22" i="17"/>
  <c r="Z22" i="17"/>
  <c r="AB22" i="17" s="1"/>
  <c r="W22" i="17"/>
  <c r="V22" i="17"/>
  <c r="U22" i="17"/>
  <c r="Q22" i="17"/>
  <c r="P22" i="17"/>
  <c r="O22" i="17"/>
  <c r="N22" i="17"/>
  <c r="M22" i="17"/>
  <c r="L22" i="17"/>
  <c r="AA21" i="17"/>
  <c r="Z21" i="17"/>
  <c r="AB21" i="17" s="1"/>
  <c r="W21" i="17"/>
  <c r="V21" i="17"/>
  <c r="U21" i="17"/>
  <c r="Q21" i="17"/>
  <c r="P21" i="17"/>
  <c r="O21" i="17"/>
  <c r="N21" i="17"/>
  <c r="M21" i="17"/>
  <c r="L21" i="17"/>
  <c r="AA20" i="17"/>
  <c r="Z20" i="17"/>
  <c r="AB20" i="17" s="1"/>
  <c r="W20" i="17"/>
  <c r="V20" i="17"/>
  <c r="U20" i="17"/>
  <c r="Q20" i="17"/>
  <c r="P20" i="17"/>
  <c r="O20" i="17"/>
  <c r="N20" i="17"/>
  <c r="M20" i="17"/>
  <c r="L20" i="17"/>
  <c r="AA19" i="17"/>
  <c r="Z19" i="17"/>
  <c r="AB19" i="17" s="1"/>
  <c r="W19" i="17"/>
  <c r="V19" i="17"/>
  <c r="U19" i="17"/>
  <c r="Q19" i="17"/>
  <c r="P19" i="17"/>
  <c r="O19" i="17"/>
  <c r="N19" i="17"/>
  <c r="M19" i="17"/>
  <c r="L19" i="17"/>
  <c r="AA18" i="17"/>
  <c r="Z18" i="17"/>
  <c r="AB18" i="17" s="1"/>
  <c r="W18" i="17"/>
  <c r="V18" i="17"/>
  <c r="U18" i="17"/>
  <c r="Q18" i="17"/>
  <c r="P18" i="17"/>
  <c r="O18" i="17"/>
  <c r="N18" i="17"/>
  <c r="M18" i="17"/>
  <c r="L18" i="17"/>
  <c r="AA17" i="17"/>
  <c r="Z17" i="17"/>
  <c r="AB17" i="17" s="1"/>
  <c r="W17" i="17"/>
  <c r="V17" i="17"/>
  <c r="U17" i="17"/>
  <c r="Q17" i="17"/>
  <c r="P17" i="17"/>
  <c r="O17" i="17"/>
  <c r="N17" i="17"/>
  <c r="M17" i="17"/>
  <c r="L17" i="17"/>
  <c r="AA16" i="17"/>
  <c r="Z16" i="17"/>
  <c r="AB16" i="17" s="1"/>
  <c r="W16" i="17"/>
  <c r="V16" i="17"/>
  <c r="U16" i="17"/>
  <c r="Q16" i="17"/>
  <c r="P16" i="17"/>
  <c r="O16" i="17"/>
  <c r="N16" i="17"/>
  <c r="M16" i="17"/>
  <c r="L16" i="17"/>
  <c r="AA15" i="17"/>
  <c r="Z15" i="17"/>
  <c r="AB15" i="17" s="1"/>
  <c r="W15" i="17"/>
  <c r="V15" i="17"/>
  <c r="U15" i="17"/>
  <c r="Q15" i="17"/>
  <c r="P15" i="17"/>
  <c r="O15" i="17"/>
  <c r="N15" i="17"/>
  <c r="M15" i="17"/>
  <c r="L15" i="17"/>
  <c r="AA14" i="17"/>
  <c r="Z14" i="17"/>
  <c r="AB14" i="17" s="1"/>
  <c r="W14" i="17"/>
  <c r="V14" i="17"/>
  <c r="U14" i="17"/>
  <c r="Q14" i="17"/>
  <c r="P14" i="17"/>
  <c r="O14" i="17"/>
  <c r="N14" i="17"/>
  <c r="M14" i="17"/>
  <c r="L14" i="17"/>
  <c r="AA13" i="17"/>
  <c r="Z13" i="17"/>
  <c r="AB13" i="17" s="1"/>
  <c r="W13" i="17"/>
  <c r="V13" i="17"/>
  <c r="U13" i="17"/>
  <c r="Q13" i="17"/>
  <c r="P13" i="17"/>
  <c r="O13" i="17"/>
  <c r="N13" i="17"/>
  <c r="M13" i="17"/>
  <c r="L13" i="17"/>
  <c r="AA12" i="17"/>
  <c r="Z12" i="17"/>
  <c r="AB12" i="17" s="1"/>
  <c r="W12" i="17"/>
  <c r="V12" i="17"/>
  <c r="U12" i="17"/>
  <c r="Q12" i="17"/>
  <c r="P12" i="17"/>
  <c r="O12" i="17"/>
  <c r="N12" i="17"/>
  <c r="M12" i="17"/>
  <c r="L12" i="17"/>
  <c r="AA11" i="17"/>
  <c r="Z11" i="17"/>
  <c r="AB11" i="17" s="1"/>
  <c r="W11" i="17"/>
  <c r="V11" i="17"/>
  <c r="U11" i="17"/>
  <c r="Q11" i="17"/>
  <c r="P11" i="17"/>
  <c r="O11" i="17"/>
  <c r="N11" i="17"/>
  <c r="M11" i="17"/>
  <c r="L11" i="17"/>
  <c r="AA10" i="17"/>
  <c r="Z10" i="17"/>
  <c r="AB10" i="17" s="1"/>
  <c r="W10" i="17"/>
  <c r="V10" i="17"/>
  <c r="U10" i="17"/>
  <c r="Q10" i="17"/>
  <c r="P10" i="17"/>
  <c r="O10" i="17"/>
  <c r="N10" i="17"/>
  <c r="M10" i="17"/>
  <c r="L10" i="17"/>
  <c r="AA9" i="17"/>
  <c r="Z9" i="17"/>
  <c r="AB9" i="17" s="1"/>
  <c r="W9" i="17"/>
  <c r="V9" i="17"/>
  <c r="U9" i="17"/>
  <c r="Q9" i="17"/>
  <c r="P9" i="17"/>
  <c r="O9" i="17"/>
  <c r="N9" i="17"/>
  <c r="M9" i="17"/>
  <c r="L9" i="17"/>
  <c r="AA8" i="17"/>
  <c r="Z8" i="17"/>
  <c r="AB8" i="17" s="1"/>
  <c r="W8" i="17"/>
  <c r="V8" i="17"/>
  <c r="U8" i="17"/>
  <c r="Q8" i="17"/>
  <c r="P8" i="17"/>
  <c r="O8" i="17"/>
  <c r="N8" i="17"/>
  <c r="M8" i="17"/>
  <c r="L8" i="17"/>
  <c r="AA7" i="17"/>
  <c r="Z7" i="17"/>
  <c r="AB7" i="17" s="1"/>
  <c r="W7" i="17"/>
  <c r="V7" i="17"/>
  <c r="U7" i="17"/>
  <c r="Q7" i="17"/>
  <c r="P7" i="17"/>
  <c r="O7" i="17"/>
  <c r="N7" i="17"/>
  <c r="M7" i="17"/>
  <c r="L7" i="17"/>
  <c r="AA6" i="17"/>
  <c r="Z6" i="17"/>
  <c r="AB6" i="17" s="1"/>
  <c r="W6" i="17"/>
  <c r="V6" i="17"/>
  <c r="U6" i="17"/>
  <c r="Q6" i="17"/>
  <c r="P6" i="17"/>
  <c r="O6" i="17"/>
  <c r="N6" i="17"/>
  <c r="M6" i="17"/>
  <c r="L6" i="17"/>
  <c r="AA5" i="17"/>
  <c r="Z5" i="17"/>
  <c r="AB5" i="17" s="1"/>
  <c r="W5" i="17"/>
  <c r="V5" i="17"/>
  <c r="U5" i="17"/>
  <c r="Q5" i="17"/>
  <c r="P5" i="17"/>
  <c r="O5" i="17"/>
  <c r="N5" i="17"/>
  <c r="M5" i="17"/>
  <c r="L5" i="17"/>
</calcChain>
</file>

<file path=xl/sharedStrings.xml><?xml version="1.0" encoding="utf-8"?>
<sst xmlns="http://schemas.openxmlformats.org/spreadsheetml/2006/main" count="495" uniqueCount="129">
  <si>
    <t>PROVINCE_N</t>
  </si>
  <si>
    <t>DISTRICT_N</t>
  </si>
  <si>
    <t>DSD_N</t>
  </si>
  <si>
    <t>DS_Code</t>
  </si>
  <si>
    <t>WESTERN</t>
  </si>
  <si>
    <t>KALUTARA</t>
  </si>
  <si>
    <t>AGALAWATTA</t>
  </si>
  <si>
    <t>COLOMBO</t>
  </si>
  <si>
    <t>HOMAGAMA</t>
  </si>
  <si>
    <t>BULATHSINHALA</t>
  </si>
  <si>
    <t>KOLONNAWA</t>
  </si>
  <si>
    <t>GAMPAHA</t>
  </si>
  <si>
    <t>MINUWANGODA</t>
  </si>
  <si>
    <t>KESBEWA</t>
  </si>
  <si>
    <t>DEHIWALA</t>
  </si>
  <si>
    <t>MIRIGAMA</t>
  </si>
  <si>
    <t>ATTANAGALLA</t>
  </si>
  <si>
    <t>HORANA</t>
  </si>
  <si>
    <t>PANADURA</t>
  </si>
  <si>
    <t>MAHARAGAMA</t>
  </si>
  <si>
    <t>KATANA</t>
  </si>
  <si>
    <t>PADUKKA</t>
  </si>
  <si>
    <t>WATTALA</t>
  </si>
  <si>
    <t>KELANIYA</t>
  </si>
  <si>
    <t>JA ELA</t>
  </si>
  <si>
    <t>BANDARAGAMA</t>
  </si>
  <si>
    <t>BIYAGAMA</t>
  </si>
  <si>
    <t>DIVULAPITIYA</t>
  </si>
  <si>
    <t>BERUWALA</t>
  </si>
  <si>
    <t>DODANGODA</t>
  </si>
  <si>
    <t>WALALLAWITA</t>
  </si>
  <si>
    <t>MADURAWALA</t>
  </si>
  <si>
    <t>MORATUWA</t>
  </si>
  <si>
    <t>RATMALANA</t>
  </si>
  <si>
    <t>PALINDANUWARA</t>
  </si>
  <si>
    <t>DOMPE</t>
  </si>
  <si>
    <t>MAHARA</t>
  </si>
  <si>
    <t>KADUWELA</t>
  </si>
  <si>
    <t>SEETHAWAKA</t>
  </si>
  <si>
    <t>INGIRIYA</t>
  </si>
  <si>
    <t>THIMBIRIGASYAYA</t>
  </si>
  <si>
    <t>MATUGAMA</t>
  </si>
  <si>
    <t>MILLANIYA</t>
  </si>
  <si>
    <t>NEGOMBO</t>
  </si>
  <si>
    <t>SRI JAYAWARDANAPURA KOTTE</t>
  </si>
  <si>
    <t>ASWEDDUMIZED_PADDY_EXTENT</t>
  </si>
  <si>
    <t>PCT_PADDY_LAND_TOTAL _LAND_AREA</t>
  </si>
  <si>
    <t>PADDY_FARMERS</t>
  </si>
  <si>
    <t>PCT_PADDY_FARMERS_AGRICULTURAL_OPERATORS</t>
  </si>
  <si>
    <t>WATER_SURFACE_AREA</t>
  </si>
  <si>
    <t>PCT_WATER_SURFACE_AREA</t>
  </si>
  <si>
    <t>PCT_FOREST_COVER</t>
  </si>
  <si>
    <t>ANNUAL_AVERAGE_RAINFALL</t>
  </si>
  <si>
    <t>No Paddy</t>
  </si>
  <si>
    <t>Colombo</t>
  </si>
  <si>
    <t>Dehiwala</t>
  </si>
  <si>
    <t>Moratuwa</t>
  </si>
  <si>
    <t>Ratmalana</t>
  </si>
  <si>
    <t>Thimbirigasyaya</t>
  </si>
  <si>
    <t>Kelaniya</t>
  </si>
  <si>
    <t>Negombo</t>
  </si>
  <si>
    <t>Weight (%)</t>
  </si>
  <si>
    <t>Relationship</t>
  </si>
  <si>
    <t>Source</t>
  </si>
  <si>
    <t>H1</t>
  </si>
  <si>
    <t>+</t>
  </si>
  <si>
    <t>Disaster Management Centre, 2023</t>
  </si>
  <si>
    <t>H2</t>
  </si>
  <si>
    <t>Developed by project (Based on Department of Meteorology, 2023</t>
  </si>
  <si>
    <t>H3</t>
  </si>
  <si>
    <t>E1</t>
  </si>
  <si>
    <t>Department of Census &amp; Statistics, District Statistical Handbook, 2023</t>
  </si>
  <si>
    <t>E2</t>
  </si>
  <si>
    <t>% paddy land area (from total land area)</t>
  </si>
  <si>
    <t>Calculated by project (Based on Land Use Policy Planning Department, 2018)</t>
  </si>
  <si>
    <t>E3</t>
  </si>
  <si>
    <t>E4</t>
  </si>
  <si>
    <t>No. of paddy farmers</t>
  </si>
  <si>
    <t>Department of Census and Statistics, 2013/2014</t>
  </si>
  <si>
    <t>E5</t>
  </si>
  <si>
    <t>% of Paddy farmers from total  Agricultural Operators</t>
  </si>
  <si>
    <t>E6</t>
  </si>
  <si>
    <t>Variable (Flood)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</si>
  <si>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</si>
  <si>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</si>
  <si>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</si>
  <si>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H4</t>
  </si>
  <si>
    <t>No. of lightning incidents  - 1974 to 2023</t>
  </si>
  <si>
    <t xml:space="preserve">Total Asweddumized paddy  extent </t>
  </si>
  <si>
    <t xml:space="preserve">Water surface area </t>
  </si>
  <si>
    <t>-</t>
  </si>
  <si>
    <t xml:space="preserve">% of water surface area </t>
  </si>
  <si>
    <t>Land Use Policy Planning Department, 2018</t>
  </si>
  <si>
    <t>E7</t>
  </si>
  <si>
    <t>% of forest cover</t>
  </si>
  <si>
    <t>E8</t>
  </si>
  <si>
    <t>Annual average rainfall</t>
  </si>
  <si>
    <t>World Clim Data, 1990-2020</t>
  </si>
  <si>
    <t>Original Data</t>
  </si>
  <si>
    <t>Normalization</t>
  </si>
  <si>
    <t>% Calculation</t>
  </si>
  <si>
    <t>WEB</t>
  </si>
  <si>
    <t>PROVINCE</t>
  </si>
  <si>
    <t>DISTRICT</t>
  </si>
  <si>
    <t>DSD</t>
  </si>
  <si>
    <t>DS_CODE</t>
  </si>
  <si>
    <t>3 day cumulative rain fall</t>
  </si>
  <si>
    <t>Very wet days (95th percentile)</t>
  </si>
  <si>
    <t>No. of Flood events - 1974 to 2005</t>
  </si>
  <si>
    <t>No. of Flood events - 2005 -2023</t>
  </si>
  <si>
    <t>STRONG_WIND_EVENTS_1978_TO_2023</t>
  </si>
  <si>
    <t>LIGHTNING_INCIDENTS_1974_TO_2023</t>
  </si>
  <si>
    <t>No. of lightening incidents  - 1974 to 2023</t>
  </si>
  <si>
    <t>3 day cumulative - 60%</t>
  </si>
  <si>
    <t>Wet days - 40%</t>
  </si>
  <si>
    <t>VERY_WET_DAYS</t>
  </si>
  <si>
    <t>No. of Flood events - 1974 to 2004</t>
  </si>
  <si>
    <t>No. of Flood events_ 1974-2004_25%</t>
  </si>
  <si>
    <t>No. of Flood events_ 2005-2023_75%</t>
  </si>
  <si>
    <t>FLOOD_EVENTS_1974_TO_2023</t>
  </si>
  <si>
    <t>Asweddumized Paddy Area (ha)</t>
  </si>
  <si>
    <t>% Paddy_area</t>
  </si>
  <si>
    <t>No. of Paddy Farmers</t>
  </si>
  <si>
    <t>% Paddy farmers</t>
  </si>
  <si>
    <t>No. of Flood events - 1974 to 2023</t>
  </si>
  <si>
    <t>Very wet days (95th percentile)  &amp; 3 day cumulative rain fall</t>
  </si>
  <si>
    <t xml:space="preserve">% of Water surface area </t>
  </si>
  <si>
    <t>% of Forest cover</t>
  </si>
  <si>
    <t>Normalized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</si>
</sst>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rial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1" fontId="0" fillId="0" borderId="0" xfId="0" applyNumberFormat="1"/>
    <xf numFmtId="1" fontId="16" fillId="0" borderId="10" xfId="0" applyNumberFormat="1" applyFont="1" applyBorder="1"/>
    <xf numFmtId="1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0" fontId="18" fillId="0" borderId="10" xfId="0" applyFont="1" applyBorder="1" applyAlignment="1">
      <alignment wrapText="1"/>
    </xf>
    <xf numFmtId="1" fontId="18" fillId="0" borderId="10" xfId="0" applyNumberFormat="1" applyFont="1" applyBorder="1"/>
    <xf numFmtId="0" fontId="19" fillId="0" borderId="10" xfId="0" applyFont="1" applyBorder="1" applyAlignment="1">
      <alignment wrapText="1"/>
    </xf>
    <xf numFmtId="0" fontId="20" fillId="0" borderId="0" xfId="0" applyFont="1"/>
    <xf numFmtId="1" fontId="20" fillId="0" borderId="10" xfId="0" applyNumberFormat="1" applyFont="1" applyBorder="1"/>
    <xf numFmtId="2" fontId="20" fillId="0" borderId="10" xfId="0" applyNumberFormat="1" applyFont="1" applyBorder="1"/>
    <xf numFmtId="164" fontId="20" fillId="0" borderId="10" xfId="0" applyNumberFormat="1" applyFont="1" applyBorder="1"/>
    <xf numFmtId="0" fontId="20" fillId="0" borderId="10" xfId="0" applyFont="1" applyBorder="1"/>
    <xf numFmtId="1" fontId="20" fillId="0" borderId="0" xfId="0" applyNumberFormat="1" applyFont="1"/>
    <xf numFmtId="0" fontId="21" fillId="0" borderId="10" xfId="0" applyFont="1" applyBorder="1" applyAlignment="1">
      <alignment vertical="center"/>
    </xf>
    <xf numFmtId="0" fontId="20" fillId="33" borderId="0" xfId="0" applyFont="1" applyFill="1"/>
    <xf numFmtId="0" fontId="0" fillId="33" borderId="0" xfId="0" applyFill="1"/>
    <xf numFmtId="0" fontId="16" fillId="0" borderId="10" xfId="0" applyFont="1" applyBorder="1"/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2" fillId="0" borderId="10" xfId="0" applyFont="1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23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49" fontId="0" fillId="0" borderId="12" xfId="0" applyNumberFormat="1" applyBorder="1" applyAlignment="1">
      <alignment horizontal="center"/>
    </xf>
    <xf numFmtId="0" fontId="24" fillId="0" borderId="10" xfId="0" applyFont="1" applyBorder="1" applyAlignment="1">
      <alignment vertical="center"/>
    </xf>
    <xf numFmtId="0" fontId="0" fillId="0" borderId="0" xfId="0" applyAlignment="1">
      <alignment horizontal="center"/>
    </xf>
    <xf numFmtId="0" fontId="18" fillId="0" borderId="0" xfId="0" applyFont="1"/>
    <xf numFmtId="0" fontId="18" fillId="35" borderId="0" xfId="0" applyFont="1" applyFill="1"/>
    <xf numFmtId="165" fontId="0" fillId="0" borderId="10" xfId="0" quotePrefix="1" applyNumberFormat="1" applyBorder="1" applyAlignment="1">
      <alignment horizontal="center"/>
    </xf>
    <xf numFmtId="0" fontId="0" fillId="35" borderId="0" xfId="0" applyFill="1"/>
    <xf numFmtId="0" fontId="24" fillId="36" borderId="10" xfId="0" applyFont="1" applyFill="1" applyBorder="1" applyAlignment="1">
      <alignment wrapText="1"/>
    </xf>
    <xf numFmtId="0" fontId="24" fillId="38" borderId="10" xfId="0" applyFont="1" applyFill="1" applyBorder="1" applyAlignment="1">
      <alignment wrapText="1"/>
    </xf>
    <xf numFmtId="0" fontId="20" fillId="39" borderId="10" xfId="0" applyFont="1" applyFill="1" applyBorder="1" applyAlignment="1">
      <alignment wrapText="1"/>
    </xf>
    <xf numFmtId="0" fontId="26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wrapText="1"/>
    </xf>
    <xf numFmtId="0" fontId="24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20" fillId="38" borderId="10" xfId="0" applyFont="1" applyFill="1" applyBorder="1" applyAlignment="1">
      <alignment wrapText="1"/>
    </xf>
    <xf numFmtId="0" fontId="0" fillId="40" borderId="10" xfId="0" applyFill="1" applyBorder="1" applyAlignment="1">
      <alignment wrapText="1"/>
    </xf>
    <xf numFmtId="1" fontId="0" fillId="35" borderId="10" xfId="0" applyNumberFormat="1" applyFill="1" applyBorder="1"/>
    <xf numFmtId="2" fontId="0" fillId="35" borderId="10" xfId="0" applyNumberFormat="1" applyFill="1" applyBorder="1"/>
    <xf numFmtId="2" fontId="0" fillId="37" borderId="10" xfId="0" applyNumberFormat="1" applyFill="1" applyBorder="1"/>
    <xf numFmtId="0" fontId="16" fillId="33" borderId="0" xfId="0" applyFont="1" applyFill="1"/>
    <xf numFmtId="0" fontId="0" fillId="33" borderId="11" xfId="0" applyFill="1" applyBorder="1"/>
    <xf numFmtId="0" fontId="16" fillId="39" borderId="10" xfId="0" applyFont="1" applyFill="1" applyBorder="1" applyAlignment="1">
      <alignment vertical="center" wrapText="1"/>
    </xf>
    <xf numFmtId="0" fontId="25" fillId="39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37" borderId="10" xfId="0" applyFont="1" applyFill="1" applyBorder="1" applyAlignment="1">
      <alignment vertical="center" wrapText="1"/>
    </xf>
    <xf numFmtId="0" fontId="16" fillId="41" borderId="10" xfId="0" applyFont="1" applyFill="1" applyBorder="1" applyAlignment="1">
      <alignment vertical="center" wrapText="1"/>
    </xf>
    <xf numFmtId="2" fontId="0" fillId="39" borderId="10" xfId="0" applyNumberFormat="1" applyFill="1" applyBorder="1"/>
    <xf numFmtId="2" fontId="0" fillId="41" borderId="10" xfId="0" applyNumberFormat="1" applyFill="1" applyBorder="1"/>
    <xf numFmtId="0" fontId="0" fillId="39" borderId="0" xfId="0" applyFill="1"/>
    <xf numFmtId="0" fontId="0" fillId="37" borderId="0" xfId="0" applyFill="1"/>
    <xf numFmtId="0" fontId="0" fillId="41" borderId="0" xfId="0" applyFill="1"/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D786-D6BB-49C4-A62C-199FD47A6B77}">
  <sheetPr>
    <tabColor rgb="FF00B0F0"/>
  </sheetPr>
  <dimension ref="A1:E14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25" customWidth="1"/>
    <col min="4" max="4" width="12.5" customWidth="1"/>
    <col min="5" max="5" width="61.875" bestFit="1" customWidth="1"/>
  </cols>
  <sheetData>
    <row r="1" spans="1:5" ht="15">
      <c r="A1" s="58" t="s">
        <v>82</v>
      </c>
      <c r="B1" s="59"/>
      <c r="C1" s="18" t="s">
        <v>61</v>
      </c>
      <c r="D1" s="18" t="s">
        <v>62</v>
      </c>
      <c r="E1" s="19" t="s">
        <v>63</v>
      </c>
    </row>
    <row r="2" spans="1:5">
      <c r="A2" s="20" t="s">
        <v>64</v>
      </c>
      <c r="B2" s="20" t="s">
        <v>83</v>
      </c>
      <c r="C2" s="4">
        <v>50</v>
      </c>
      <c r="D2" s="22" t="s">
        <v>65</v>
      </c>
      <c r="E2" s="20" t="s">
        <v>66</v>
      </c>
    </row>
    <row r="3" spans="1:5" ht="28.5">
      <c r="A3" s="20" t="s">
        <v>67</v>
      </c>
      <c r="B3" s="24" t="s">
        <v>84</v>
      </c>
      <c r="C3" s="4">
        <v>35</v>
      </c>
      <c r="D3" s="22" t="s">
        <v>65</v>
      </c>
      <c r="E3" s="20" t="s">
        <v>68</v>
      </c>
    </row>
    <row r="4" spans="1:5">
      <c r="A4" s="20" t="s">
        <v>69</v>
      </c>
      <c r="B4" s="21" t="s">
        <v>85</v>
      </c>
      <c r="C4" s="4">
        <v>10</v>
      </c>
      <c r="D4" s="22" t="s">
        <v>65</v>
      </c>
      <c r="E4" s="20" t="s">
        <v>66</v>
      </c>
    </row>
    <row r="5" spans="1:5">
      <c r="A5" s="20" t="s">
        <v>86</v>
      </c>
      <c r="B5" s="20" t="s">
        <v>87</v>
      </c>
      <c r="C5" s="25">
        <v>5</v>
      </c>
      <c r="D5" s="22" t="s">
        <v>65</v>
      </c>
      <c r="E5" s="20" t="s">
        <v>66</v>
      </c>
    </row>
    <row r="6" spans="1:5">
      <c r="A6" s="20"/>
      <c r="B6" s="20"/>
      <c r="C6" s="4"/>
      <c r="D6" s="22"/>
      <c r="E6" s="4"/>
    </row>
    <row r="7" spans="1:5">
      <c r="A7" s="20" t="s">
        <v>70</v>
      </c>
      <c r="B7" s="21" t="s">
        <v>88</v>
      </c>
      <c r="C7" s="4">
        <v>20</v>
      </c>
      <c r="D7" s="22" t="s">
        <v>65</v>
      </c>
      <c r="E7" s="23" t="s">
        <v>71</v>
      </c>
    </row>
    <row r="8" spans="1:5">
      <c r="A8" s="20" t="s">
        <v>72</v>
      </c>
      <c r="B8" s="21" t="s">
        <v>73</v>
      </c>
      <c r="C8" s="4">
        <v>20</v>
      </c>
      <c r="D8" s="22" t="s">
        <v>65</v>
      </c>
      <c r="E8" s="4" t="s">
        <v>74</v>
      </c>
    </row>
    <row r="9" spans="1:5">
      <c r="A9" s="20" t="s">
        <v>75</v>
      </c>
      <c r="B9" s="21" t="s">
        <v>77</v>
      </c>
      <c r="C9" s="4">
        <v>10</v>
      </c>
      <c r="D9" s="22" t="s">
        <v>65</v>
      </c>
      <c r="E9" s="20" t="s">
        <v>78</v>
      </c>
    </row>
    <row r="10" spans="1:5">
      <c r="A10" s="20" t="s">
        <v>76</v>
      </c>
      <c r="B10" s="20" t="s">
        <v>80</v>
      </c>
      <c r="C10" s="4">
        <v>10</v>
      </c>
      <c r="D10" s="22" t="s">
        <v>65</v>
      </c>
      <c r="E10" s="20" t="s">
        <v>78</v>
      </c>
    </row>
    <row r="11" spans="1:5">
      <c r="A11" s="20" t="s">
        <v>79</v>
      </c>
      <c r="B11" s="21" t="s">
        <v>89</v>
      </c>
      <c r="C11" s="4">
        <v>15</v>
      </c>
      <c r="D11" s="26" t="s">
        <v>90</v>
      </c>
      <c r="E11" s="20" t="s">
        <v>74</v>
      </c>
    </row>
    <row r="12" spans="1:5">
      <c r="A12" s="20" t="s">
        <v>81</v>
      </c>
      <c r="B12" s="21" t="s">
        <v>91</v>
      </c>
      <c r="C12" s="4">
        <v>15</v>
      </c>
      <c r="D12" s="26" t="s">
        <v>90</v>
      </c>
      <c r="E12" s="27" t="s">
        <v>92</v>
      </c>
    </row>
    <row r="13" spans="1:5">
      <c r="A13" s="20" t="s">
        <v>93</v>
      </c>
      <c r="B13" s="21" t="s">
        <v>94</v>
      </c>
      <c r="C13" s="4">
        <v>5</v>
      </c>
      <c r="D13" s="22" t="s">
        <v>90</v>
      </c>
      <c r="E13" s="27" t="s">
        <v>92</v>
      </c>
    </row>
    <row r="14" spans="1:5">
      <c r="A14" s="20" t="s">
        <v>95</v>
      </c>
      <c r="B14" s="20" t="s">
        <v>96</v>
      </c>
      <c r="C14" s="4">
        <v>5</v>
      </c>
      <c r="D14" s="22" t="s">
        <v>65</v>
      </c>
      <c r="E14" s="20" t="s">
        <v>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2D93-4E7A-4A15-BE69-CE4457542217}">
  <sheetPr>
    <tabColor theme="4" tint="0.79998168889431442"/>
  </sheetPr>
  <dimension ref="A1:AB44"/>
  <sheetViews>
    <sheetView workbookViewId="0">
      <selection activeCell="D2" sqref="D2"/>
    </sheetView>
  </sheetViews>
  <sheetFormatPr defaultRowHeight="14.25"/>
  <cols>
    <col min="1" max="1" width="10.625" style="1" bestFit="1" customWidth="1"/>
    <col min="2" max="2" width="10.375" style="1" bestFit="1" customWidth="1"/>
    <col min="3" max="3" width="30.25" style="1" bestFit="1" customWidth="1"/>
    <col min="4" max="4" width="10" style="1" bestFit="1" customWidth="1"/>
    <col min="5" max="5" width="9.875" customWidth="1"/>
    <col min="6" max="6" width="8.75" customWidth="1"/>
    <col min="7" max="7" width="8" customWidth="1"/>
    <col min="8" max="8" width="10.5" customWidth="1"/>
    <col min="9" max="9" width="12.25" customWidth="1"/>
    <col min="10" max="10" width="11.375" bestFit="1" customWidth="1"/>
    <col min="11" max="11" width="7.875" customWidth="1"/>
    <col min="12" max="12" width="13.125" bestFit="1" customWidth="1"/>
    <col min="13" max="13" width="8.75" bestFit="1" customWidth="1"/>
    <col min="14" max="16" width="7.375" bestFit="1" customWidth="1"/>
    <col min="17" max="17" width="8.5" bestFit="1" customWidth="1"/>
    <col min="19" max="19" width="8.625" bestFit="1" customWidth="1"/>
    <col min="20" max="20" width="8.75" bestFit="1" customWidth="1"/>
    <col min="21" max="22" width="8.625" bestFit="1" customWidth="1"/>
    <col min="23" max="23" width="14.625" bestFit="1" customWidth="1"/>
    <col min="24" max="25" width="7.375" bestFit="1" customWidth="1"/>
    <col min="26" max="27" width="7.875" bestFit="1" customWidth="1"/>
    <col min="28" max="28" width="16.125" bestFit="1" customWidth="1"/>
  </cols>
  <sheetData>
    <row r="1" spans="1:28">
      <c r="L1" s="28" t="s">
        <v>65</v>
      </c>
      <c r="M1" s="28" t="s">
        <v>65</v>
      </c>
      <c r="N1" s="28" t="s">
        <v>65</v>
      </c>
      <c r="O1" s="28" t="s">
        <v>65</v>
      </c>
      <c r="P1" s="28" t="s">
        <v>65</v>
      </c>
      <c r="Q1" s="28" t="s">
        <v>65</v>
      </c>
    </row>
    <row r="2" spans="1:28" ht="15">
      <c r="E2" s="60" t="s">
        <v>98</v>
      </c>
      <c r="F2" s="60"/>
      <c r="G2" s="60"/>
      <c r="H2" s="60"/>
      <c r="I2" s="60"/>
      <c r="J2" s="60"/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S2" s="61" t="s">
        <v>100</v>
      </c>
      <c r="T2" s="61"/>
      <c r="U2" s="61"/>
      <c r="V2" s="61"/>
      <c r="W2" s="61"/>
      <c r="X2" s="61"/>
      <c r="Y2" s="61"/>
      <c r="Z2" s="61"/>
      <c r="AA2" s="61"/>
      <c r="AB2" s="61"/>
    </row>
    <row r="3" spans="1:28" ht="15">
      <c r="I3" s="30" t="s">
        <v>101</v>
      </c>
      <c r="J3" s="32"/>
      <c r="L3" s="29" t="s">
        <v>99</v>
      </c>
      <c r="W3" s="30" t="s">
        <v>101</v>
      </c>
      <c r="AB3" s="30" t="s">
        <v>101</v>
      </c>
    </row>
    <row r="4" spans="1:28" ht="86.25">
      <c r="A4" s="2" t="s">
        <v>102</v>
      </c>
      <c r="B4" s="2" t="s">
        <v>103</v>
      </c>
      <c r="C4" s="2" t="s">
        <v>104</v>
      </c>
      <c r="D4" s="2" t="s">
        <v>105</v>
      </c>
      <c r="E4" s="33" t="s">
        <v>106</v>
      </c>
      <c r="F4" s="34" t="s">
        <v>107</v>
      </c>
      <c r="G4" s="35" t="s">
        <v>108</v>
      </c>
      <c r="H4" s="35" t="s">
        <v>109</v>
      </c>
      <c r="I4" s="36" t="s">
        <v>110</v>
      </c>
      <c r="J4" s="37" t="s">
        <v>111</v>
      </c>
      <c r="L4" s="33" t="s">
        <v>106</v>
      </c>
      <c r="M4" s="34" t="s">
        <v>107</v>
      </c>
      <c r="N4" s="35" t="s">
        <v>108</v>
      </c>
      <c r="O4" s="35" t="s">
        <v>109</v>
      </c>
      <c r="P4" s="38" t="s">
        <v>85</v>
      </c>
      <c r="Q4" s="39" t="s">
        <v>112</v>
      </c>
      <c r="R4" s="9"/>
      <c r="S4" s="40" t="s">
        <v>106</v>
      </c>
      <c r="T4" s="41" t="s">
        <v>107</v>
      </c>
      <c r="U4" s="40" t="s">
        <v>113</v>
      </c>
      <c r="V4" s="41" t="s">
        <v>114</v>
      </c>
      <c r="W4" s="37" t="s">
        <v>115</v>
      </c>
      <c r="X4" s="42" t="s">
        <v>116</v>
      </c>
      <c r="Y4" s="42" t="s">
        <v>109</v>
      </c>
      <c r="Z4" s="42" t="s">
        <v>117</v>
      </c>
      <c r="AA4" s="42" t="s">
        <v>118</v>
      </c>
      <c r="AB4" s="37" t="s">
        <v>119</v>
      </c>
    </row>
    <row r="5" spans="1:28">
      <c r="A5" s="3" t="s">
        <v>4</v>
      </c>
      <c r="B5" s="3" t="s">
        <v>7</v>
      </c>
      <c r="C5" s="3" t="s">
        <v>7</v>
      </c>
      <c r="D5" s="3">
        <v>69</v>
      </c>
      <c r="E5" s="5">
        <v>-18.920000000000002</v>
      </c>
      <c r="F5" s="5">
        <v>119.67</v>
      </c>
      <c r="G5" s="3">
        <v>10</v>
      </c>
      <c r="H5" s="3">
        <v>18</v>
      </c>
      <c r="I5" s="43">
        <v>14</v>
      </c>
      <c r="J5" s="43">
        <v>4</v>
      </c>
      <c r="L5" s="31">
        <f t="shared" ref="L5:L44" si="0">IF($L$2&gt;0,((E5)-(MIN($E$5:$E$44)))/((MAX($E$5:$E$44))-(MIN($E$5:$E$44))),(1-((E5-MIN($E$5:$E$44)))/((MAX($E$5:$E$44))-(MIN($E$5:$E$44)))))</f>
        <v>0.44642857142857145</v>
      </c>
      <c r="M5" s="31">
        <f t="shared" ref="M5:M44" si="1">IF($M$2&gt;0,((F5)-(MIN($F$5:$F$44)))/((MAX($F$5:$F$44))-(MIN($F$5:$F$44))),(1-((F5-MIN($F$5:$F$44)))/((MAX($F$5:$F$44))-(MIN($F$5:$F$44)))))</f>
        <v>0.63033175355450255</v>
      </c>
      <c r="N5" s="31">
        <f t="shared" ref="N5:N44" si="2">IF($N$2&gt;0,((G5)-(MIN($G$5:$G$44)))/((MAX($G$5:$G$44))-(MIN($G$5:$G$44))),(1-((G5-MIN($G$5:$G$44)))/((MAX($G$5:$G$44))-(MIN($G$5:$G$44)))))</f>
        <v>0.38461538461538464</v>
      </c>
      <c r="O5" s="31">
        <f t="shared" ref="O5:O44" si="3">IF($O$2&gt;0,((H5)-(MIN($H$5:$H$44)))/((MAX($H$5:$H$44))-(MIN($H$5:$H$44))),(1-((H5-MIN($H$5:$H$44)))/((MAX($H$5:$H$44))-(MIN($H$5:$H$44)))))</f>
        <v>0.5</v>
      </c>
      <c r="P5" s="31">
        <f t="shared" ref="P5:P44" si="4">IF($P$2&gt;0,((I5)-(MIN($I$5:$I$44)))/((MAX($I$5:$I$44))-(MIN($I$5:$I$44))),(1-((I5-MIN($I$5:$I$44)))/((MAX($I$5:$I$44))-(MIN($I$5:$I$44)))))</f>
        <v>0.11538461538461539</v>
      </c>
      <c r="Q5" s="31">
        <f t="shared" ref="Q5:Q44" si="5">IF($Q$2&gt;0,((J5)-(MIN($J$5:$J$44)))/((MAX($J$5:$J$44))-(MIN($J$5:$J$44))),(1-((J5-MIN($J$5:$J$44)))/((MAX($J$5:$J$44))-(MIN($J$5:$J$44)))))</f>
        <v>0.26666666666666666</v>
      </c>
      <c r="S5" s="5">
        <v>0.44642857142857145</v>
      </c>
      <c r="T5" s="5">
        <v>0.63033175355450255</v>
      </c>
      <c r="U5" s="5">
        <f>S5/100*60</f>
        <v>0.2678571428571429</v>
      </c>
      <c r="V5" s="5">
        <f>T5/100*40</f>
        <v>0.252132701421801</v>
      </c>
      <c r="W5" s="44">
        <f>SUM(U5:V5)</f>
        <v>0.5199898442789439</v>
      </c>
      <c r="X5" s="45">
        <v>0.38461538461538464</v>
      </c>
      <c r="Y5" s="45">
        <v>0.5</v>
      </c>
      <c r="Z5" s="5">
        <f>X5/100*25</f>
        <v>9.6153846153846159E-2</v>
      </c>
      <c r="AA5" s="5">
        <f>Y5/100*75</f>
        <v>0.375</v>
      </c>
      <c r="AB5" s="44">
        <f>SUM(Z5:AA5)</f>
        <v>0.47115384615384615</v>
      </c>
    </row>
    <row r="6" spans="1:28">
      <c r="A6" s="3" t="s">
        <v>4</v>
      </c>
      <c r="B6" s="3" t="s">
        <v>7</v>
      </c>
      <c r="C6" s="3" t="s">
        <v>14</v>
      </c>
      <c r="D6" s="3">
        <v>70</v>
      </c>
      <c r="E6" s="5">
        <v>-27.96</v>
      </c>
      <c r="F6" s="5">
        <v>125.78</v>
      </c>
      <c r="G6" s="3">
        <v>4</v>
      </c>
      <c r="H6" s="3">
        <v>5</v>
      </c>
      <c r="I6" s="43">
        <v>16</v>
      </c>
      <c r="J6" s="43">
        <v>1</v>
      </c>
      <c r="L6" s="31">
        <f t="shared" si="0"/>
        <v>0.18605990783410142</v>
      </c>
      <c r="M6" s="31">
        <f t="shared" si="1"/>
        <v>0.87164296998420221</v>
      </c>
      <c r="N6" s="31">
        <f t="shared" si="2"/>
        <v>0.15384615384615385</v>
      </c>
      <c r="O6" s="31">
        <f t="shared" si="3"/>
        <v>0</v>
      </c>
      <c r="P6" s="31">
        <f t="shared" si="4"/>
        <v>0.15384615384615385</v>
      </c>
      <c r="Q6" s="31">
        <f t="shared" si="5"/>
        <v>6.6666666666666666E-2</v>
      </c>
      <c r="S6" s="5">
        <v>0.18605990783410142</v>
      </c>
      <c r="T6" s="5">
        <v>0.87164296998420221</v>
      </c>
      <c r="U6" s="5">
        <f t="shared" ref="U6:U44" si="6">S6/100*60</f>
        <v>0.11163594470046086</v>
      </c>
      <c r="V6" s="5">
        <f t="shared" ref="V6:V44" si="7">T6/100*40</f>
        <v>0.34865718799368089</v>
      </c>
      <c r="W6" s="44">
        <f t="shared" ref="W6:W44" si="8">SUM(U6:V6)</f>
        <v>0.46029313269414174</v>
      </c>
      <c r="X6" s="45">
        <v>0.15384615384615385</v>
      </c>
      <c r="Y6" s="45">
        <v>0</v>
      </c>
      <c r="Z6" s="5">
        <f t="shared" ref="Z6:Z44" si="9">X6/100*25</f>
        <v>3.8461538461538464E-2</v>
      </c>
      <c r="AA6" s="5">
        <f t="shared" ref="AA6:AA44" si="10">Y6/100*75</f>
        <v>0</v>
      </c>
      <c r="AB6" s="44">
        <f t="shared" ref="AB6:AB44" si="11">SUM(Z6:AA6)</f>
        <v>3.8461538461538464E-2</v>
      </c>
    </row>
    <row r="7" spans="1:28">
      <c r="A7" s="3" t="s">
        <v>4</v>
      </c>
      <c r="B7" s="3" t="s">
        <v>7</v>
      </c>
      <c r="C7" s="3" t="s">
        <v>38</v>
      </c>
      <c r="D7" s="3">
        <v>71</v>
      </c>
      <c r="E7" s="5">
        <v>-33.119999999999997</v>
      </c>
      <c r="F7" s="5">
        <v>117.01</v>
      </c>
      <c r="G7" s="3">
        <v>9</v>
      </c>
      <c r="H7" s="3">
        <v>20</v>
      </c>
      <c r="I7" s="43">
        <v>16</v>
      </c>
      <c r="J7" s="43">
        <v>5</v>
      </c>
      <c r="L7" s="31">
        <f t="shared" si="0"/>
        <v>3.7442396313364178E-2</v>
      </c>
      <c r="M7" s="31">
        <f t="shared" si="1"/>
        <v>0.52527646129541894</v>
      </c>
      <c r="N7" s="31">
        <f t="shared" si="2"/>
        <v>0.34615384615384615</v>
      </c>
      <c r="O7" s="31">
        <f t="shared" si="3"/>
        <v>0.57692307692307687</v>
      </c>
      <c r="P7" s="31">
        <f t="shared" si="4"/>
        <v>0.15384615384615385</v>
      </c>
      <c r="Q7" s="31">
        <f t="shared" si="5"/>
        <v>0.33333333333333331</v>
      </c>
      <c r="S7" s="5">
        <v>3.7442396313364178E-2</v>
      </c>
      <c r="T7" s="5">
        <v>0.52527646129541894</v>
      </c>
      <c r="U7" s="5">
        <f t="shared" si="6"/>
        <v>2.2465437788018506E-2</v>
      </c>
      <c r="V7" s="5">
        <f t="shared" si="7"/>
        <v>0.21011058451816755</v>
      </c>
      <c r="W7" s="44">
        <f t="shared" si="8"/>
        <v>0.23257602230618607</v>
      </c>
      <c r="X7" s="45">
        <v>0.34615384615384615</v>
      </c>
      <c r="Y7" s="45">
        <v>0.57692307692307687</v>
      </c>
      <c r="Z7" s="5">
        <f t="shared" si="9"/>
        <v>8.6538461538461536E-2</v>
      </c>
      <c r="AA7" s="5">
        <f t="shared" si="10"/>
        <v>0.43269230769230765</v>
      </c>
      <c r="AB7" s="44">
        <f t="shared" si="11"/>
        <v>0.51923076923076916</v>
      </c>
    </row>
    <row r="8" spans="1:28">
      <c r="A8" s="3" t="s">
        <v>4</v>
      </c>
      <c r="B8" s="3" t="s">
        <v>7</v>
      </c>
      <c r="C8" s="3" t="s">
        <v>8</v>
      </c>
      <c r="D8" s="3">
        <v>72</v>
      </c>
      <c r="E8" s="5">
        <v>-21.31</v>
      </c>
      <c r="F8" s="5">
        <v>123.41</v>
      </c>
      <c r="G8" s="3">
        <v>4</v>
      </c>
      <c r="H8" s="3">
        <v>12</v>
      </c>
      <c r="I8" s="43">
        <v>17</v>
      </c>
      <c r="J8" s="43">
        <v>5</v>
      </c>
      <c r="L8" s="31">
        <f t="shared" si="0"/>
        <v>0.3775921658986176</v>
      </c>
      <c r="M8" s="31">
        <f t="shared" si="1"/>
        <v>0.77804107424960489</v>
      </c>
      <c r="N8" s="31">
        <f t="shared" si="2"/>
        <v>0.15384615384615385</v>
      </c>
      <c r="O8" s="31">
        <f t="shared" si="3"/>
        <v>0.26923076923076922</v>
      </c>
      <c r="P8" s="31">
        <f t="shared" si="4"/>
        <v>0.17307692307692307</v>
      </c>
      <c r="Q8" s="31">
        <f t="shared" si="5"/>
        <v>0.33333333333333331</v>
      </c>
      <c r="S8" s="5">
        <v>0.3775921658986176</v>
      </c>
      <c r="T8" s="5">
        <v>0.77804107424960489</v>
      </c>
      <c r="U8" s="5">
        <f t="shared" si="6"/>
        <v>0.22655529953917058</v>
      </c>
      <c r="V8" s="5">
        <f t="shared" si="7"/>
        <v>0.31121642969984198</v>
      </c>
      <c r="W8" s="44">
        <f t="shared" si="8"/>
        <v>0.53777172923901251</v>
      </c>
      <c r="X8" s="45">
        <v>0.15384615384615385</v>
      </c>
      <c r="Y8" s="45">
        <v>0.26923076923076922</v>
      </c>
      <c r="Z8" s="5">
        <f t="shared" si="9"/>
        <v>3.8461538461538464E-2</v>
      </c>
      <c r="AA8" s="5">
        <f t="shared" si="10"/>
        <v>0.20192307692307693</v>
      </c>
      <c r="AB8" s="44">
        <f t="shared" si="11"/>
        <v>0.24038461538461539</v>
      </c>
    </row>
    <row r="9" spans="1:28">
      <c r="A9" s="3" t="s">
        <v>4</v>
      </c>
      <c r="B9" s="3" t="s">
        <v>7</v>
      </c>
      <c r="C9" s="3" t="s">
        <v>37</v>
      </c>
      <c r="D9" s="3">
        <v>73</v>
      </c>
      <c r="E9" s="5">
        <v>-23.43</v>
      </c>
      <c r="F9" s="5">
        <v>120.08</v>
      </c>
      <c r="G9" s="3">
        <v>4</v>
      </c>
      <c r="H9" s="3">
        <v>20</v>
      </c>
      <c r="I9" s="43">
        <v>17</v>
      </c>
      <c r="J9" s="43">
        <v>6</v>
      </c>
      <c r="L9" s="31">
        <f t="shared" si="0"/>
        <v>0.31653225806451618</v>
      </c>
      <c r="M9" s="31">
        <f t="shared" si="1"/>
        <v>0.64652448657187989</v>
      </c>
      <c r="N9" s="31">
        <f t="shared" si="2"/>
        <v>0.15384615384615385</v>
      </c>
      <c r="O9" s="31">
        <f t="shared" si="3"/>
        <v>0.57692307692307687</v>
      </c>
      <c r="P9" s="31">
        <f t="shared" si="4"/>
        <v>0.17307692307692307</v>
      </c>
      <c r="Q9" s="31">
        <f t="shared" si="5"/>
        <v>0.4</v>
      </c>
      <c r="S9" s="5">
        <v>0.31653225806451618</v>
      </c>
      <c r="T9" s="5">
        <v>0.64652448657187989</v>
      </c>
      <c r="U9" s="5">
        <f t="shared" si="6"/>
        <v>0.1899193548387097</v>
      </c>
      <c r="V9" s="5">
        <f t="shared" si="7"/>
        <v>0.25860979462875194</v>
      </c>
      <c r="W9" s="44">
        <f t="shared" si="8"/>
        <v>0.44852914946746164</v>
      </c>
      <c r="X9" s="45">
        <v>0.15384615384615385</v>
      </c>
      <c r="Y9" s="45">
        <v>0.57692307692307687</v>
      </c>
      <c r="Z9" s="5">
        <f t="shared" si="9"/>
        <v>3.8461538461538464E-2</v>
      </c>
      <c r="AA9" s="5">
        <f t="shared" si="10"/>
        <v>0.43269230769230765</v>
      </c>
      <c r="AB9" s="44">
        <f t="shared" si="11"/>
        <v>0.47115384615384615</v>
      </c>
    </row>
    <row r="10" spans="1:28">
      <c r="A10" s="3" t="s">
        <v>4</v>
      </c>
      <c r="B10" s="3" t="s">
        <v>7</v>
      </c>
      <c r="C10" s="3" t="s">
        <v>13</v>
      </c>
      <c r="D10" s="3">
        <v>74</v>
      </c>
      <c r="E10" s="5">
        <v>-26.55</v>
      </c>
      <c r="F10" s="5">
        <v>125.44</v>
      </c>
      <c r="G10" s="3">
        <v>3</v>
      </c>
      <c r="H10" s="3">
        <v>11</v>
      </c>
      <c r="I10" s="43">
        <v>16</v>
      </c>
      <c r="J10" s="43">
        <v>1</v>
      </c>
      <c r="L10" s="31">
        <f t="shared" si="0"/>
        <v>0.22667050691244242</v>
      </c>
      <c r="M10" s="31">
        <f t="shared" si="1"/>
        <v>0.85821484992101094</v>
      </c>
      <c r="N10" s="31">
        <f t="shared" si="2"/>
        <v>0.11538461538461539</v>
      </c>
      <c r="O10" s="31">
        <f t="shared" si="3"/>
        <v>0.23076923076923078</v>
      </c>
      <c r="P10" s="31">
        <f t="shared" si="4"/>
        <v>0.15384615384615385</v>
      </c>
      <c r="Q10" s="31">
        <f t="shared" si="5"/>
        <v>6.6666666666666666E-2</v>
      </c>
      <c r="S10" s="5">
        <v>0.22667050691244242</v>
      </c>
      <c r="T10" s="5">
        <v>0.85821484992101094</v>
      </c>
      <c r="U10" s="5">
        <f t="shared" si="6"/>
        <v>0.13600230414746545</v>
      </c>
      <c r="V10" s="5">
        <f t="shared" si="7"/>
        <v>0.34328593996840434</v>
      </c>
      <c r="W10" s="44">
        <f t="shared" si="8"/>
        <v>0.47928824411586979</v>
      </c>
      <c r="X10" s="45">
        <v>0.11538461538461539</v>
      </c>
      <c r="Y10" s="45">
        <v>0.23076923076923078</v>
      </c>
      <c r="Z10" s="5">
        <f t="shared" si="9"/>
        <v>2.8846153846153848E-2</v>
      </c>
      <c r="AA10" s="5">
        <f t="shared" si="10"/>
        <v>0.1730769230769231</v>
      </c>
      <c r="AB10" s="44">
        <f t="shared" si="11"/>
        <v>0.20192307692307696</v>
      </c>
    </row>
    <row r="11" spans="1:28">
      <c r="A11" s="3" t="s">
        <v>4</v>
      </c>
      <c r="B11" s="3" t="s">
        <v>7</v>
      </c>
      <c r="C11" s="3" t="s">
        <v>10</v>
      </c>
      <c r="D11" s="3">
        <v>75</v>
      </c>
      <c r="E11" s="5">
        <v>-18.34</v>
      </c>
      <c r="F11" s="5">
        <v>119.47</v>
      </c>
      <c r="G11" s="3">
        <v>12</v>
      </c>
      <c r="H11" s="3">
        <v>23</v>
      </c>
      <c r="I11" s="43">
        <v>15</v>
      </c>
      <c r="J11" s="43">
        <v>0</v>
      </c>
      <c r="L11" s="31">
        <f t="shared" si="0"/>
        <v>0.46313364055299544</v>
      </c>
      <c r="M11" s="31">
        <f t="shared" si="1"/>
        <v>0.62243285939968407</v>
      </c>
      <c r="N11" s="31">
        <f t="shared" si="2"/>
        <v>0.46153846153846156</v>
      </c>
      <c r="O11" s="31">
        <f t="shared" si="3"/>
        <v>0.69230769230769229</v>
      </c>
      <c r="P11" s="31">
        <f t="shared" si="4"/>
        <v>0.13461538461538461</v>
      </c>
      <c r="Q11" s="31">
        <f t="shared" si="5"/>
        <v>0</v>
      </c>
      <c r="S11" s="5">
        <v>0.46313364055299544</v>
      </c>
      <c r="T11" s="5">
        <v>0.62243285939968407</v>
      </c>
      <c r="U11" s="5">
        <f t="shared" si="6"/>
        <v>0.27788018433179723</v>
      </c>
      <c r="V11" s="5">
        <f t="shared" si="7"/>
        <v>0.24897314375987362</v>
      </c>
      <c r="W11" s="44">
        <f t="shared" si="8"/>
        <v>0.52685332809167085</v>
      </c>
      <c r="X11" s="45">
        <v>0.46153846153846156</v>
      </c>
      <c r="Y11" s="45">
        <v>0.69230769230769229</v>
      </c>
      <c r="Z11" s="5">
        <f t="shared" si="9"/>
        <v>0.11538461538461539</v>
      </c>
      <c r="AA11" s="5">
        <f t="shared" si="10"/>
        <v>0.51923076923076927</v>
      </c>
      <c r="AB11" s="44">
        <f t="shared" si="11"/>
        <v>0.63461538461538469</v>
      </c>
    </row>
    <row r="12" spans="1:28">
      <c r="A12" s="3" t="s">
        <v>4</v>
      </c>
      <c r="B12" s="3" t="s">
        <v>7</v>
      </c>
      <c r="C12" s="3" t="s">
        <v>19</v>
      </c>
      <c r="D12" s="3">
        <v>76</v>
      </c>
      <c r="E12" s="5">
        <v>-22.98</v>
      </c>
      <c r="F12" s="5">
        <v>125.03</v>
      </c>
      <c r="G12" s="3">
        <v>1</v>
      </c>
      <c r="H12" s="3">
        <v>13</v>
      </c>
      <c r="I12" s="43">
        <v>12</v>
      </c>
      <c r="J12" s="43">
        <v>0</v>
      </c>
      <c r="L12" s="31">
        <f t="shared" si="0"/>
        <v>0.32949308755760376</v>
      </c>
      <c r="M12" s="31">
        <f t="shared" si="1"/>
        <v>0.84202211690363349</v>
      </c>
      <c r="N12" s="31">
        <f t="shared" si="2"/>
        <v>3.8461538461538464E-2</v>
      </c>
      <c r="O12" s="31">
        <f t="shared" si="3"/>
        <v>0.30769230769230771</v>
      </c>
      <c r="P12" s="31">
        <f t="shared" si="4"/>
        <v>7.6923076923076927E-2</v>
      </c>
      <c r="Q12" s="31">
        <f t="shared" si="5"/>
        <v>0</v>
      </c>
      <c r="S12" s="5">
        <v>0.32949308755760376</v>
      </c>
      <c r="T12" s="5">
        <v>0.84202211690363349</v>
      </c>
      <c r="U12" s="5">
        <f t="shared" si="6"/>
        <v>0.19769585253456226</v>
      </c>
      <c r="V12" s="5">
        <f t="shared" si="7"/>
        <v>0.3368088467614534</v>
      </c>
      <c r="W12" s="44">
        <f t="shared" si="8"/>
        <v>0.53450469929601563</v>
      </c>
      <c r="X12" s="45">
        <v>3.8461538461538464E-2</v>
      </c>
      <c r="Y12" s="45">
        <v>0.30769230769230771</v>
      </c>
      <c r="Z12" s="5">
        <f t="shared" si="9"/>
        <v>9.6153846153846159E-3</v>
      </c>
      <c r="AA12" s="5">
        <f t="shared" si="10"/>
        <v>0.23076923076923078</v>
      </c>
      <c r="AB12" s="44">
        <f t="shared" si="11"/>
        <v>0.24038461538461539</v>
      </c>
    </row>
    <row r="13" spans="1:28">
      <c r="A13" s="3" t="s">
        <v>4</v>
      </c>
      <c r="B13" s="3" t="s">
        <v>7</v>
      </c>
      <c r="C13" s="3" t="s">
        <v>32</v>
      </c>
      <c r="D13" s="3">
        <v>77</v>
      </c>
      <c r="E13" s="5">
        <v>-27.96</v>
      </c>
      <c r="F13" s="5">
        <v>125.1</v>
      </c>
      <c r="G13" s="3">
        <v>8</v>
      </c>
      <c r="H13" s="3">
        <v>10</v>
      </c>
      <c r="I13" s="43">
        <v>60</v>
      </c>
      <c r="J13" s="43">
        <v>3</v>
      </c>
      <c r="L13" s="31">
        <f t="shared" si="0"/>
        <v>0.18605990783410142</v>
      </c>
      <c r="M13" s="31">
        <f t="shared" si="1"/>
        <v>0.84478672985781966</v>
      </c>
      <c r="N13" s="31">
        <f t="shared" si="2"/>
        <v>0.30769230769230771</v>
      </c>
      <c r="O13" s="31">
        <f t="shared" si="3"/>
        <v>0.19230769230769232</v>
      </c>
      <c r="P13" s="31">
        <f t="shared" si="4"/>
        <v>1</v>
      </c>
      <c r="Q13" s="31">
        <f t="shared" si="5"/>
        <v>0.2</v>
      </c>
      <c r="S13" s="5">
        <v>0.18605990783410142</v>
      </c>
      <c r="T13" s="5">
        <v>0.84478672985781966</v>
      </c>
      <c r="U13" s="5">
        <f t="shared" si="6"/>
        <v>0.11163594470046086</v>
      </c>
      <c r="V13" s="5">
        <f t="shared" si="7"/>
        <v>0.33791469194312784</v>
      </c>
      <c r="W13" s="44">
        <f t="shared" si="8"/>
        <v>0.44955063664358869</v>
      </c>
      <c r="X13" s="45">
        <v>0.30769230769230771</v>
      </c>
      <c r="Y13" s="45">
        <v>0.19230769230769232</v>
      </c>
      <c r="Z13" s="5">
        <f t="shared" si="9"/>
        <v>7.6923076923076927E-2</v>
      </c>
      <c r="AA13" s="5">
        <f t="shared" si="10"/>
        <v>0.14423076923076925</v>
      </c>
      <c r="AB13" s="44">
        <f t="shared" si="11"/>
        <v>0.22115384615384617</v>
      </c>
    </row>
    <row r="14" spans="1:28">
      <c r="A14" s="3" t="s">
        <v>4</v>
      </c>
      <c r="B14" s="3" t="s">
        <v>7</v>
      </c>
      <c r="C14" s="3" t="s">
        <v>21</v>
      </c>
      <c r="D14" s="3">
        <v>78</v>
      </c>
      <c r="E14" s="5">
        <v>-28.1</v>
      </c>
      <c r="F14" s="5">
        <v>119.06</v>
      </c>
      <c r="G14" s="3">
        <v>1</v>
      </c>
      <c r="H14" s="3">
        <v>9</v>
      </c>
      <c r="I14" s="43">
        <v>36</v>
      </c>
      <c r="J14" s="43">
        <v>6</v>
      </c>
      <c r="L14" s="31">
        <f t="shared" si="0"/>
        <v>0.18202764976958527</v>
      </c>
      <c r="M14" s="31">
        <f t="shared" si="1"/>
        <v>0.60624012638230662</v>
      </c>
      <c r="N14" s="31">
        <f t="shared" si="2"/>
        <v>3.8461538461538464E-2</v>
      </c>
      <c r="O14" s="31">
        <f t="shared" si="3"/>
        <v>0.15384615384615385</v>
      </c>
      <c r="P14" s="31">
        <f t="shared" si="4"/>
        <v>0.53846153846153844</v>
      </c>
      <c r="Q14" s="31">
        <f t="shared" si="5"/>
        <v>0.4</v>
      </c>
      <c r="S14" s="5">
        <v>0.18202764976958527</v>
      </c>
      <c r="T14" s="5">
        <v>0.60624012638230662</v>
      </c>
      <c r="U14" s="5">
        <f t="shared" si="6"/>
        <v>0.10921658986175116</v>
      </c>
      <c r="V14" s="5">
        <f t="shared" si="7"/>
        <v>0.24249605055292264</v>
      </c>
      <c r="W14" s="44">
        <f t="shared" si="8"/>
        <v>0.35171264041467382</v>
      </c>
      <c r="X14" s="45">
        <v>3.8461538461538464E-2</v>
      </c>
      <c r="Y14" s="45">
        <v>0.15384615384615385</v>
      </c>
      <c r="Z14" s="5">
        <f t="shared" si="9"/>
        <v>9.6153846153846159E-3</v>
      </c>
      <c r="AA14" s="5">
        <f t="shared" si="10"/>
        <v>0.11538461538461539</v>
      </c>
      <c r="AB14" s="44">
        <f t="shared" si="11"/>
        <v>0.125</v>
      </c>
    </row>
    <row r="15" spans="1:28">
      <c r="A15" s="3" t="s">
        <v>4</v>
      </c>
      <c r="B15" s="3" t="s">
        <v>7</v>
      </c>
      <c r="C15" s="3" t="s">
        <v>33</v>
      </c>
      <c r="D15" s="3">
        <v>79</v>
      </c>
      <c r="E15" s="5">
        <v>-28.11</v>
      </c>
      <c r="F15" s="5">
        <v>125.18</v>
      </c>
      <c r="G15" s="3">
        <v>5</v>
      </c>
      <c r="H15" s="3">
        <v>10</v>
      </c>
      <c r="I15" s="43">
        <v>34</v>
      </c>
      <c r="J15" s="43">
        <v>0</v>
      </c>
      <c r="L15" s="31">
        <f t="shared" si="0"/>
        <v>0.18173963133640561</v>
      </c>
      <c r="M15" s="31">
        <f t="shared" si="1"/>
        <v>0.84794628751974754</v>
      </c>
      <c r="N15" s="31">
        <f t="shared" si="2"/>
        <v>0.19230769230769232</v>
      </c>
      <c r="O15" s="31">
        <f t="shared" si="3"/>
        <v>0.19230769230769232</v>
      </c>
      <c r="P15" s="31">
        <f t="shared" si="4"/>
        <v>0.5</v>
      </c>
      <c r="Q15" s="31">
        <f t="shared" si="5"/>
        <v>0</v>
      </c>
      <c r="S15" s="5">
        <v>0.18173963133640561</v>
      </c>
      <c r="T15" s="5">
        <v>0.84794628751974754</v>
      </c>
      <c r="U15" s="5">
        <f t="shared" si="6"/>
        <v>0.10904377880184336</v>
      </c>
      <c r="V15" s="5">
        <f t="shared" si="7"/>
        <v>0.33917851500789903</v>
      </c>
      <c r="W15" s="44">
        <f t="shared" si="8"/>
        <v>0.44822229380974238</v>
      </c>
      <c r="X15" s="45">
        <v>0.19230769230769232</v>
      </c>
      <c r="Y15" s="45">
        <v>0.19230769230769232</v>
      </c>
      <c r="Z15" s="5">
        <f t="shared" si="9"/>
        <v>4.807692307692308E-2</v>
      </c>
      <c r="AA15" s="5">
        <f t="shared" si="10"/>
        <v>0.14423076923076925</v>
      </c>
      <c r="AB15" s="44">
        <f t="shared" si="11"/>
        <v>0.19230769230769232</v>
      </c>
    </row>
    <row r="16" spans="1:28">
      <c r="A16" s="3" t="s">
        <v>4</v>
      </c>
      <c r="B16" s="3" t="s">
        <v>7</v>
      </c>
      <c r="C16" s="3" t="s">
        <v>44</v>
      </c>
      <c r="D16" s="3">
        <v>80</v>
      </c>
      <c r="E16" s="5">
        <v>-26.16</v>
      </c>
      <c r="F16" s="5">
        <v>118.48</v>
      </c>
      <c r="G16" s="3">
        <v>5</v>
      </c>
      <c r="H16" s="3">
        <v>19</v>
      </c>
      <c r="I16" s="43">
        <v>8</v>
      </c>
      <c r="J16" s="43">
        <v>0</v>
      </c>
      <c r="L16" s="31">
        <f t="shared" si="0"/>
        <v>0.23790322580645168</v>
      </c>
      <c r="M16" s="31">
        <f t="shared" si="1"/>
        <v>0.58333333333333359</v>
      </c>
      <c r="N16" s="31">
        <f t="shared" si="2"/>
        <v>0.19230769230769232</v>
      </c>
      <c r="O16" s="31">
        <f t="shared" si="3"/>
        <v>0.53846153846153844</v>
      </c>
      <c r="P16" s="31">
        <f t="shared" si="4"/>
        <v>0</v>
      </c>
      <c r="Q16" s="31">
        <f t="shared" si="5"/>
        <v>0</v>
      </c>
      <c r="S16" s="5">
        <v>0.23790322580645168</v>
      </c>
      <c r="T16" s="5">
        <v>0.58333333333333359</v>
      </c>
      <c r="U16" s="5">
        <f t="shared" si="6"/>
        <v>0.14274193548387101</v>
      </c>
      <c r="V16" s="5">
        <f t="shared" si="7"/>
        <v>0.23333333333333345</v>
      </c>
      <c r="W16" s="44">
        <f t="shared" si="8"/>
        <v>0.37607526881720443</v>
      </c>
      <c r="X16" s="45">
        <v>0.19230769230769232</v>
      </c>
      <c r="Y16" s="45">
        <v>0.53846153846153844</v>
      </c>
      <c r="Z16" s="5">
        <f t="shared" si="9"/>
        <v>4.807692307692308E-2</v>
      </c>
      <c r="AA16" s="5">
        <f t="shared" si="10"/>
        <v>0.40384615384615385</v>
      </c>
      <c r="AB16" s="44">
        <f t="shared" si="11"/>
        <v>0.45192307692307693</v>
      </c>
    </row>
    <row r="17" spans="1:28">
      <c r="A17" s="3" t="s">
        <v>4</v>
      </c>
      <c r="B17" s="3" t="s">
        <v>7</v>
      </c>
      <c r="C17" s="3" t="s">
        <v>40</v>
      </c>
      <c r="D17" s="3">
        <v>81</v>
      </c>
      <c r="E17" s="5">
        <v>-25.79</v>
      </c>
      <c r="F17" s="5">
        <v>119.48</v>
      </c>
      <c r="G17" s="3">
        <v>12</v>
      </c>
      <c r="H17" s="3">
        <v>17</v>
      </c>
      <c r="I17" s="43">
        <v>29</v>
      </c>
      <c r="J17" s="43">
        <v>0</v>
      </c>
      <c r="L17" s="31">
        <f t="shared" si="0"/>
        <v>0.24855990783410145</v>
      </c>
      <c r="M17" s="31">
        <f t="shared" si="1"/>
        <v>0.62282780410742522</v>
      </c>
      <c r="N17" s="31">
        <f t="shared" si="2"/>
        <v>0.46153846153846156</v>
      </c>
      <c r="O17" s="31">
        <f t="shared" si="3"/>
        <v>0.46153846153846156</v>
      </c>
      <c r="P17" s="31">
        <f t="shared" si="4"/>
        <v>0.40384615384615385</v>
      </c>
      <c r="Q17" s="31">
        <f t="shared" si="5"/>
        <v>0</v>
      </c>
      <c r="S17" s="5">
        <v>0.24855990783410145</v>
      </c>
      <c r="T17" s="5">
        <v>0.62282780410742522</v>
      </c>
      <c r="U17" s="5">
        <f t="shared" si="6"/>
        <v>0.14913594470046088</v>
      </c>
      <c r="V17" s="5">
        <f t="shared" si="7"/>
        <v>0.24913112164297008</v>
      </c>
      <c r="W17" s="44">
        <f t="shared" si="8"/>
        <v>0.39826706634343095</v>
      </c>
      <c r="X17" s="45">
        <v>0.46153846153846156</v>
      </c>
      <c r="Y17" s="45">
        <v>0.46153846153846156</v>
      </c>
      <c r="Z17" s="5">
        <f t="shared" si="9"/>
        <v>0.11538461538461539</v>
      </c>
      <c r="AA17" s="5">
        <f t="shared" si="10"/>
        <v>0.3461538461538462</v>
      </c>
      <c r="AB17" s="44">
        <f t="shared" si="11"/>
        <v>0.46153846153846156</v>
      </c>
    </row>
    <row r="18" spans="1:28">
      <c r="A18" s="3" t="s">
        <v>4</v>
      </c>
      <c r="B18" s="3" t="s">
        <v>11</v>
      </c>
      <c r="C18" s="3" t="s">
        <v>16</v>
      </c>
      <c r="D18" s="3">
        <v>100</v>
      </c>
      <c r="E18" s="5">
        <v>-13.11</v>
      </c>
      <c r="F18" s="5">
        <v>110.73</v>
      </c>
      <c r="G18" s="3">
        <v>6</v>
      </c>
      <c r="H18" s="3">
        <v>21</v>
      </c>
      <c r="I18" s="43">
        <v>39</v>
      </c>
      <c r="J18" s="43">
        <v>4</v>
      </c>
      <c r="L18" s="31">
        <f t="shared" si="0"/>
        <v>0.61376728110599088</v>
      </c>
      <c r="M18" s="31">
        <f t="shared" si="1"/>
        <v>0.27725118483412353</v>
      </c>
      <c r="N18" s="31">
        <f t="shared" si="2"/>
        <v>0.23076923076923078</v>
      </c>
      <c r="O18" s="31">
        <f t="shared" si="3"/>
        <v>0.61538461538461542</v>
      </c>
      <c r="P18" s="31">
        <f t="shared" si="4"/>
        <v>0.59615384615384615</v>
      </c>
      <c r="Q18" s="31">
        <f t="shared" si="5"/>
        <v>0.26666666666666666</v>
      </c>
      <c r="S18" s="5">
        <v>0.61376728110599088</v>
      </c>
      <c r="T18" s="5">
        <v>0.27725118483412353</v>
      </c>
      <c r="U18" s="5">
        <f t="shared" si="6"/>
        <v>0.36826036866359452</v>
      </c>
      <c r="V18" s="5">
        <f t="shared" si="7"/>
        <v>0.11090047393364942</v>
      </c>
      <c r="W18" s="44">
        <f t="shared" si="8"/>
        <v>0.47916084259724395</v>
      </c>
      <c r="X18" s="45">
        <v>0.23076923076923078</v>
      </c>
      <c r="Y18" s="45">
        <v>0.61538461538461542</v>
      </c>
      <c r="Z18" s="5">
        <f t="shared" si="9"/>
        <v>5.7692307692307696E-2</v>
      </c>
      <c r="AA18" s="5">
        <f t="shared" si="10"/>
        <v>0.46153846153846156</v>
      </c>
      <c r="AB18" s="44">
        <f t="shared" si="11"/>
        <v>0.51923076923076927</v>
      </c>
    </row>
    <row r="19" spans="1:28">
      <c r="A19" s="3" t="s">
        <v>4</v>
      </c>
      <c r="B19" s="3" t="s">
        <v>11</v>
      </c>
      <c r="C19" s="3" t="s">
        <v>26</v>
      </c>
      <c r="D19" s="3">
        <v>101</v>
      </c>
      <c r="E19" s="5">
        <v>-20.27</v>
      </c>
      <c r="F19" s="5">
        <v>118.16</v>
      </c>
      <c r="G19" s="3">
        <v>6</v>
      </c>
      <c r="H19" s="3">
        <v>23</v>
      </c>
      <c r="I19" s="43">
        <v>27</v>
      </c>
      <c r="J19" s="43">
        <v>6</v>
      </c>
      <c r="L19" s="31">
        <f t="shared" si="0"/>
        <v>0.40754608294930883</v>
      </c>
      <c r="M19" s="31">
        <f t="shared" si="1"/>
        <v>0.57069510268562396</v>
      </c>
      <c r="N19" s="31">
        <f t="shared" si="2"/>
        <v>0.23076923076923078</v>
      </c>
      <c r="O19" s="31">
        <f t="shared" si="3"/>
        <v>0.69230769230769229</v>
      </c>
      <c r="P19" s="31">
        <f t="shared" si="4"/>
        <v>0.36538461538461536</v>
      </c>
      <c r="Q19" s="31">
        <f t="shared" si="5"/>
        <v>0.4</v>
      </c>
      <c r="S19" s="5">
        <v>0.40754608294930883</v>
      </c>
      <c r="T19" s="5">
        <v>0.57069510268562396</v>
      </c>
      <c r="U19" s="5">
        <f t="shared" si="6"/>
        <v>0.2445276497695853</v>
      </c>
      <c r="V19" s="5">
        <f t="shared" si="7"/>
        <v>0.22827804107424959</v>
      </c>
      <c r="W19" s="44">
        <f t="shared" si="8"/>
        <v>0.47280569084383489</v>
      </c>
      <c r="X19" s="45">
        <v>0.23076923076923078</v>
      </c>
      <c r="Y19" s="45">
        <v>0.69230769230769229</v>
      </c>
      <c r="Z19" s="5">
        <f t="shared" si="9"/>
        <v>5.7692307692307696E-2</v>
      </c>
      <c r="AA19" s="5">
        <f t="shared" si="10"/>
        <v>0.51923076923076927</v>
      </c>
      <c r="AB19" s="44">
        <f t="shared" si="11"/>
        <v>0.57692307692307698</v>
      </c>
    </row>
    <row r="20" spans="1:28">
      <c r="A20" s="3" t="s">
        <v>4</v>
      </c>
      <c r="B20" s="3" t="s">
        <v>11</v>
      </c>
      <c r="C20" s="3" t="s">
        <v>27</v>
      </c>
      <c r="D20" s="3">
        <v>102</v>
      </c>
      <c r="E20" s="5">
        <v>-10.029999999999999</v>
      </c>
      <c r="F20" s="5">
        <v>123.4</v>
      </c>
      <c r="G20" s="3">
        <v>5</v>
      </c>
      <c r="H20" s="3">
        <v>11</v>
      </c>
      <c r="I20" s="43">
        <v>18</v>
      </c>
      <c r="J20" s="43">
        <v>6</v>
      </c>
      <c r="L20" s="31">
        <f t="shared" si="0"/>
        <v>0.70247695852534564</v>
      </c>
      <c r="M20" s="31">
        <f t="shared" si="1"/>
        <v>0.77764612954186441</v>
      </c>
      <c r="N20" s="31">
        <f t="shared" si="2"/>
        <v>0.19230769230769232</v>
      </c>
      <c r="O20" s="31">
        <f t="shared" si="3"/>
        <v>0.23076923076923078</v>
      </c>
      <c r="P20" s="31">
        <f t="shared" si="4"/>
        <v>0.19230769230769232</v>
      </c>
      <c r="Q20" s="31">
        <f t="shared" si="5"/>
        <v>0.4</v>
      </c>
      <c r="S20" s="5">
        <v>0.70247695852534564</v>
      </c>
      <c r="T20" s="5">
        <v>0.77764612954186441</v>
      </c>
      <c r="U20" s="5">
        <f t="shared" si="6"/>
        <v>0.42148617511520736</v>
      </c>
      <c r="V20" s="5">
        <f t="shared" si="7"/>
        <v>0.31105845181674574</v>
      </c>
      <c r="W20" s="44">
        <f t="shared" si="8"/>
        <v>0.7325446269319531</v>
      </c>
      <c r="X20" s="45">
        <v>0.19230769230769232</v>
      </c>
      <c r="Y20" s="45">
        <v>0.23076923076923078</v>
      </c>
      <c r="Z20" s="5">
        <f t="shared" si="9"/>
        <v>4.807692307692308E-2</v>
      </c>
      <c r="AA20" s="5">
        <f t="shared" si="10"/>
        <v>0.1730769230769231</v>
      </c>
      <c r="AB20" s="44">
        <f t="shared" si="11"/>
        <v>0.22115384615384617</v>
      </c>
    </row>
    <row r="21" spans="1:28">
      <c r="A21" s="3" t="s">
        <v>4</v>
      </c>
      <c r="B21" s="3" t="s">
        <v>11</v>
      </c>
      <c r="C21" s="3" t="s">
        <v>35</v>
      </c>
      <c r="D21" s="3">
        <v>103</v>
      </c>
      <c r="E21" s="5">
        <v>-21.97</v>
      </c>
      <c r="F21" s="5">
        <v>115.65</v>
      </c>
      <c r="G21" s="3">
        <v>10</v>
      </c>
      <c r="H21" s="3">
        <v>16</v>
      </c>
      <c r="I21" s="43">
        <v>46</v>
      </c>
      <c r="J21" s="43">
        <v>15</v>
      </c>
      <c r="L21" s="31">
        <f t="shared" si="0"/>
        <v>0.35858294930875584</v>
      </c>
      <c r="M21" s="31">
        <f t="shared" si="1"/>
        <v>0.47156398104265435</v>
      </c>
      <c r="N21" s="31">
        <f t="shared" si="2"/>
        <v>0.38461538461538464</v>
      </c>
      <c r="O21" s="31">
        <f t="shared" si="3"/>
        <v>0.42307692307692307</v>
      </c>
      <c r="P21" s="31">
        <f t="shared" si="4"/>
        <v>0.73076923076923073</v>
      </c>
      <c r="Q21" s="31">
        <f t="shared" si="5"/>
        <v>1</v>
      </c>
      <c r="S21" s="5">
        <v>0.35858294930875584</v>
      </c>
      <c r="T21" s="5">
        <v>0.47156398104265435</v>
      </c>
      <c r="U21" s="5">
        <f t="shared" si="6"/>
        <v>0.2151497695852535</v>
      </c>
      <c r="V21" s="5">
        <f t="shared" si="7"/>
        <v>0.18862559241706173</v>
      </c>
      <c r="W21" s="44">
        <f t="shared" si="8"/>
        <v>0.40377536200231523</v>
      </c>
      <c r="X21" s="45">
        <v>0.38461538461538464</v>
      </c>
      <c r="Y21" s="45">
        <v>0.42307692307692307</v>
      </c>
      <c r="Z21" s="5">
        <f t="shared" si="9"/>
        <v>9.6153846153846159E-2</v>
      </c>
      <c r="AA21" s="5">
        <f t="shared" si="10"/>
        <v>0.31730769230769229</v>
      </c>
      <c r="AB21" s="44">
        <f t="shared" si="11"/>
        <v>0.41346153846153844</v>
      </c>
    </row>
    <row r="22" spans="1:28">
      <c r="A22" s="3" t="s">
        <v>4</v>
      </c>
      <c r="B22" s="3" t="s">
        <v>11</v>
      </c>
      <c r="C22" s="3" t="s">
        <v>11</v>
      </c>
      <c r="D22" s="3">
        <v>104</v>
      </c>
      <c r="E22" s="5">
        <v>0.3</v>
      </c>
      <c r="F22" s="5">
        <v>118.39</v>
      </c>
      <c r="G22" s="3">
        <v>7</v>
      </c>
      <c r="H22" s="3">
        <v>24</v>
      </c>
      <c r="I22" s="43">
        <v>41</v>
      </c>
      <c r="J22" s="43">
        <v>5</v>
      </c>
      <c r="L22" s="31">
        <f t="shared" si="0"/>
        <v>1</v>
      </c>
      <c r="M22" s="31">
        <f t="shared" si="1"/>
        <v>0.57977883096366523</v>
      </c>
      <c r="N22" s="31">
        <f t="shared" si="2"/>
        <v>0.26923076923076922</v>
      </c>
      <c r="O22" s="31">
        <f t="shared" si="3"/>
        <v>0.73076923076923073</v>
      </c>
      <c r="P22" s="31">
        <f t="shared" si="4"/>
        <v>0.63461538461538458</v>
      </c>
      <c r="Q22" s="31">
        <f t="shared" si="5"/>
        <v>0.33333333333333331</v>
      </c>
      <c r="S22" s="5">
        <v>1</v>
      </c>
      <c r="T22" s="5">
        <v>0.57977883096366523</v>
      </c>
      <c r="U22" s="5">
        <f t="shared" si="6"/>
        <v>0.6</v>
      </c>
      <c r="V22" s="5">
        <f t="shared" si="7"/>
        <v>0.23191153238546608</v>
      </c>
      <c r="W22" s="44">
        <f t="shared" si="8"/>
        <v>0.831911532385466</v>
      </c>
      <c r="X22" s="45">
        <v>0.26923076923076922</v>
      </c>
      <c r="Y22" s="45">
        <v>0.73076923076923073</v>
      </c>
      <c r="Z22" s="5">
        <f t="shared" si="9"/>
        <v>6.7307692307692304E-2</v>
      </c>
      <c r="AA22" s="5">
        <f t="shared" si="10"/>
        <v>0.54807692307692302</v>
      </c>
      <c r="AB22" s="44">
        <f t="shared" si="11"/>
        <v>0.61538461538461531</v>
      </c>
    </row>
    <row r="23" spans="1:28">
      <c r="A23" s="3" t="s">
        <v>4</v>
      </c>
      <c r="B23" s="3" t="s">
        <v>11</v>
      </c>
      <c r="C23" s="3" t="s">
        <v>24</v>
      </c>
      <c r="D23" s="3">
        <v>105</v>
      </c>
      <c r="E23" s="5">
        <v>-0.01</v>
      </c>
      <c r="F23" s="5">
        <v>121.72</v>
      </c>
      <c r="G23" s="3">
        <v>11</v>
      </c>
      <c r="H23" s="3">
        <v>18</v>
      </c>
      <c r="I23" s="43">
        <v>26</v>
      </c>
      <c r="J23" s="43">
        <v>5</v>
      </c>
      <c r="L23" s="31">
        <f t="shared" si="0"/>
        <v>0.99107142857142871</v>
      </c>
      <c r="M23" s="31">
        <f t="shared" si="1"/>
        <v>0.71129541864139023</v>
      </c>
      <c r="N23" s="31">
        <f t="shared" si="2"/>
        <v>0.42307692307692307</v>
      </c>
      <c r="O23" s="31">
        <f t="shared" si="3"/>
        <v>0.5</v>
      </c>
      <c r="P23" s="31">
        <f t="shared" si="4"/>
        <v>0.34615384615384615</v>
      </c>
      <c r="Q23" s="31">
        <f t="shared" si="5"/>
        <v>0.33333333333333331</v>
      </c>
      <c r="S23" s="5">
        <v>0.99107142857142871</v>
      </c>
      <c r="T23" s="5">
        <v>0.71129541864139023</v>
      </c>
      <c r="U23" s="5">
        <f t="shared" si="6"/>
        <v>0.59464285714285725</v>
      </c>
      <c r="V23" s="5">
        <f t="shared" si="7"/>
        <v>0.28451816745655606</v>
      </c>
      <c r="W23" s="44">
        <f t="shared" si="8"/>
        <v>0.87916102459941325</v>
      </c>
      <c r="X23" s="45">
        <v>0.42307692307692307</v>
      </c>
      <c r="Y23" s="45">
        <v>0.5</v>
      </c>
      <c r="Z23" s="5">
        <f t="shared" si="9"/>
        <v>0.10576923076923077</v>
      </c>
      <c r="AA23" s="5">
        <f t="shared" si="10"/>
        <v>0.375</v>
      </c>
      <c r="AB23" s="44">
        <f t="shared" si="11"/>
        <v>0.48076923076923078</v>
      </c>
    </row>
    <row r="24" spans="1:28">
      <c r="A24" s="3" t="s">
        <v>4</v>
      </c>
      <c r="B24" s="3" t="s">
        <v>11</v>
      </c>
      <c r="C24" s="3" t="s">
        <v>20</v>
      </c>
      <c r="D24" s="3">
        <v>106</v>
      </c>
      <c r="E24" s="5">
        <v>-6.07</v>
      </c>
      <c r="F24" s="5">
        <v>126.13</v>
      </c>
      <c r="G24" s="3">
        <v>13</v>
      </c>
      <c r="H24" s="3">
        <v>22</v>
      </c>
      <c r="I24" s="43">
        <v>21</v>
      </c>
      <c r="J24" s="43">
        <v>1</v>
      </c>
      <c r="L24" s="31">
        <f t="shared" si="0"/>
        <v>0.81653225806451624</v>
      </c>
      <c r="M24" s="31">
        <f t="shared" si="1"/>
        <v>0.88546603475513408</v>
      </c>
      <c r="N24" s="31">
        <f t="shared" si="2"/>
        <v>0.5</v>
      </c>
      <c r="O24" s="31">
        <f t="shared" si="3"/>
        <v>0.65384615384615385</v>
      </c>
      <c r="P24" s="31">
        <f t="shared" si="4"/>
        <v>0.25</v>
      </c>
      <c r="Q24" s="31">
        <f t="shared" si="5"/>
        <v>6.6666666666666666E-2</v>
      </c>
      <c r="S24" s="5">
        <v>0.81653225806451624</v>
      </c>
      <c r="T24" s="5">
        <v>0.88546603475513408</v>
      </c>
      <c r="U24" s="5">
        <f t="shared" si="6"/>
        <v>0.4899193548387098</v>
      </c>
      <c r="V24" s="5">
        <f t="shared" si="7"/>
        <v>0.35418641390205363</v>
      </c>
      <c r="W24" s="44">
        <f t="shared" si="8"/>
        <v>0.84410576874076337</v>
      </c>
      <c r="X24" s="45">
        <v>0.5</v>
      </c>
      <c r="Y24" s="45">
        <v>0.65384615384615385</v>
      </c>
      <c r="Z24" s="5">
        <f t="shared" si="9"/>
        <v>0.125</v>
      </c>
      <c r="AA24" s="5">
        <f t="shared" si="10"/>
        <v>0.49038461538461536</v>
      </c>
      <c r="AB24" s="44">
        <f t="shared" si="11"/>
        <v>0.61538461538461542</v>
      </c>
    </row>
    <row r="25" spans="1:28">
      <c r="A25" s="3" t="s">
        <v>4</v>
      </c>
      <c r="B25" s="3" t="s">
        <v>11</v>
      </c>
      <c r="C25" s="3" t="s">
        <v>23</v>
      </c>
      <c r="D25" s="3">
        <v>107</v>
      </c>
      <c r="E25" s="5">
        <v>-14.13</v>
      </c>
      <c r="F25" s="5">
        <v>119.55</v>
      </c>
      <c r="G25" s="3">
        <v>7</v>
      </c>
      <c r="H25" s="3">
        <v>30</v>
      </c>
      <c r="I25" s="43">
        <v>12</v>
      </c>
      <c r="J25" s="43">
        <v>2</v>
      </c>
      <c r="L25" s="31">
        <f t="shared" si="0"/>
        <v>0.58438940092165903</v>
      </c>
      <c r="M25" s="31">
        <f t="shared" si="1"/>
        <v>0.62559241706161128</v>
      </c>
      <c r="N25" s="31">
        <f t="shared" si="2"/>
        <v>0.26923076923076922</v>
      </c>
      <c r="O25" s="31">
        <f t="shared" si="3"/>
        <v>0.96153846153846156</v>
      </c>
      <c r="P25" s="31">
        <f t="shared" si="4"/>
        <v>7.6923076923076927E-2</v>
      </c>
      <c r="Q25" s="31">
        <f t="shared" si="5"/>
        <v>0.13333333333333333</v>
      </c>
      <c r="S25" s="5">
        <v>0.58438940092165903</v>
      </c>
      <c r="T25" s="5">
        <v>0.62559241706161128</v>
      </c>
      <c r="U25" s="5">
        <f t="shared" si="6"/>
        <v>0.35063364055299545</v>
      </c>
      <c r="V25" s="5">
        <f t="shared" si="7"/>
        <v>0.25023696682464452</v>
      </c>
      <c r="W25" s="44">
        <f t="shared" si="8"/>
        <v>0.60087060737763998</v>
      </c>
      <c r="X25" s="45">
        <v>0.26923076923076922</v>
      </c>
      <c r="Y25" s="45">
        <v>0.96153846153846156</v>
      </c>
      <c r="Z25" s="5">
        <f t="shared" si="9"/>
        <v>6.7307692307692304E-2</v>
      </c>
      <c r="AA25" s="5">
        <f t="shared" si="10"/>
        <v>0.72115384615384615</v>
      </c>
      <c r="AB25" s="44">
        <f t="shared" si="11"/>
        <v>0.78846153846153844</v>
      </c>
    </row>
    <row r="26" spans="1:28">
      <c r="A26" s="3" t="s">
        <v>4</v>
      </c>
      <c r="B26" s="3" t="s">
        <v>11</v>
      </c>
      <c r="C26" s="3" t="s">
        <v>36</v>
      </c>
      <c r="D26" s="3">
        <v>108</v>
      </c>
      <c r="E26" s="5">
        <v>-6.44</v>
      </c>
      <c r="F26" s="5">
        <v>117.27</v>
      </c>
      <c r="G26" s="3">
        <v>0</v>
      </c>
      <c r="H26" s="3">
        <v>25</v>
      </c>
      <c r="I26" s="43">
        <v>31</v>
      </c>
      <c r="J26" s="43">
        <v>5</v>
      </c>
      <c r="L26" s="31">
        <f t="shared" si="0"/>
        <v>0.80587557603686644</v>
      </c>
      <c r="M26" s="31">
        <f t="shared" si="1"/>
        <v>0.53554502369668244</v>
      </c>
      <c r="N26" s="31">
        <f t="shared" si="2"/>
        <v>0</v>
      </c>
      <c r="O26" s="31">
        <f t="shared" si="3"/>
        <v>0.76923076923076927</v>
      </c>
      <c r="P26" s="31">
        <f t="shared" si="4"/>
        <v>0.44230769230769229</v>
      </c>
      <c r="Q26" s="31">
        <f t="shared" si="5"/>
        <v>0.33333333333333331</v>
      </c>
      <c r="S26" s="5">
        <v>0.80587557603686644</v>
      </c>
      <c r="T26" s="5">
        <v>0.53554502369668244</v>
      </c>
      <c r="U26" s="5">
        <f t="shared" si="6"/>
        <v>0.48352534562211991</v>
      </c>
      <c r="V26" s="5">
        <f t="shared" si="7"/>
        <v>0.21421800947867298</v>
      </c>
      <c r="W26" s="44">
        <f t="shared" si="8"/>
        <v>0.69774335510079288</v>
      </c>
      <c r="X26" s="45">
        <v>0</v>
      </c>
      <c r="Y26" s="45">
        <v>0.76923076923076927</v>
      </c>
      <c r="Z26" s="5">
        <f t="shared" si="9"/>
        <v>0</v>
      </c>
      <c r="AA26" s="5">
        <f t="shared" si="10"/>
        <v>0.57692307692307698</v>
      </c>
      <c r="AB26" s="44">
        <f t="shared" si="11"/>
        <v>0.57692307692307698</v>
      </c>
    </row>
    <row r="27" spans="1:28">
      <c r="A27" s="3" t="s">
        <v>4</v>
      </c>
      <c r="B27" s="3" t="s">
        <v>11</v>
      </c>
      <c r="C27" s="3" t="s">
        <v>12</v>
      </c>
      <c r="D27" s="3">
        <v>109</v>
      </c>
      <c r="E27" s="5">
        <v>-5.31</v>
      </c>
      <c r="F27" s="5">
        <v>117.32</v>
      </c>
      <c r="G27" s="3">
        <v>3</v>
      </c>
      <c r="H27" s="3">
        <v>15</v>
      </c>
      <c r="I27" s="43">
        <v>29</v>
      </c>
      <c r="J27" s="43">
        <v>3</v>
      </c>
      <c r="L27" s="31">
        <f t="shared" si="0"/>
        <v>0.83842165898617527</v>
      </c>
      <c r="M27" s="31">
        <f t="shared" si="1"/>
        <v>0.53751974723538687</v>
      </c>
      <c r="N27" s="31">
        <f t="shared" si="2"/>
        <v>0.11538461538461539</v>
      </c>
      <c r="O27" s="31">
        <f t="shared" si="3"/>
        <v>0.38461538461538464</v>
      </c>
      <c r="P27" s="31">
        <f t="shared" si="4"/>
        <v>0.40384615384615385</v>
      </c>
      <c r="Q27" s="31">
        <f t="shared" si="5"/>
        <v>0.2</v>
      </c>
      <c r="S27" s="5">
        <v>0.83842165898617527</v>
      </c>
      <c r="T27" s="5">
        <v>0.53751974723538687</v>
      </c>
      <c r="U27" s="5">
        <f t="shared" si="6"/>
        <v>0.50305299539170523</v>
      </c>
      <c r="V27" s="5">
        <f t="shared" si="7"/>
        <v>0.21500789889415475</v>
      </c>
      <c r="W27" s="44">
        <f t="shared" si="8"/>
        <v>0.71806089428585995</v>
      </c>
      <c r="X27" s="45">
        <v>0.11538461538461539</v>
      </c>
      <c r="Y27" s="45">
        <v>0.38461538461538464</v>
      </c>
      <c r="Z27" s="5">
        <f t="shared" si="9"/>
        <v>2.8846153846153848E-2</v>
      </c>
      <c r="AA27" s="5">
        <f t="shared" si="10"/>
        <v>0.28846153846153849</v>
      </c>
      <c r="AB27" s="44">
        <f t="shared" si="11"/>
        <v>0.31730769230769235</v>
      </c>
    </row>
    <row r="28" spans="1:28">
      <c r="A28" s="3" t="s">
        <v>4</v>
      </c>
      <c r="B28" s="3" t="s">
        <v>11</v>
      </c>
      <c r="C28" s="3" t="s">
        <v>15</v>
      </c>
      <c r="D28" s="3">
        <v>110</v>
      </c>
      <c r="E28" s="5">
        <v>-19.23</v>
      </c>
      <c r="F28" s="5">
        <v>110.15</v>
      </c>
      <c r="G28" s="3">
        <v>5</v>
      </c>
      <c r="H28" s="3">
        <v>9</v>
      </c>
      <c r="I28" s="43">
        <v>43</v>
      </c>
      <c r="J28" s="43">
        <v>5</v>
      </c>
      <c r="L28" s="31">
        <f t="shared" si="0"/>
        <v>0.43750000000000006</v>
      </c>
      <c r="M28" s="31">
        <f t="shared" si="1"/>
        <v>0.2543443917851505</v>
      </c>
      <c r="N28" s="31">
        <f t="shared" si="2"/>
        <v>0.19230769230769232</v>
      </c>
      <c r="O28" s="31">
        <f t="shared" si="3"/>
        <v>0.15384615384615385</v>
      </c>
      <c r="P28" s="31">
        <f t="shared" si="4"/>
        <v>0.67307692307692313</v>
      </c>
      <c r="Q28" s="31">
        <f t="shared" si="5"/>
        <v>0.33333333333333331</v>
      </c>
      <c r="S28" s="5">
        <v>0.43750000000000006</v>
      </c>
      <c r="T28" s="5">
        <v>0.2543443917851505</v>
      </c>
      <c r="U28" s="5">
        <f t="shared" si="6"/>
        <v>0.26250000000000001</v>
      </c>
      <c r="V28" s="5">
        <f t="shared" si="7"/>
        <v>0.10173775671406021</v>
      </c>
      <c r="W28" s="44">
        <f t="shared" si="8"/>
        <v>0.36423775671406022</v>
      </c>
      <c r="X28" s="45">
        <v>0.19230769230769232</v>
      </c>
      <c r="Y28" s="45">
        <v>0.15384615384615385</v>
      </c>
      <c r="Z28" s="5">
        <f t="shared" si="9"/>
        <v>4.807692307692308E-2</v>
      </c>
      <c r="AA28" s="5">
        <f t="shared" si="10"/>
        <v>0.11538461538461539</v>
      </c>
      <c r="AB28" s="44">
        <f t="shared" si="11"/>
        <v>0.16346153846153846</v>
      </c>
    </row>
    <row r="29" spans="1:28">
      <c r="A29" s="3" t="s">
        <v>4</v>
      </c>
      <c r="B29" s="3" t="s">
        <v>11</v>
      </c>
      <c r="C29" s="3" t="s">
        <v>43</v>
      </c>
      <c r="D29" s="3">
        <v>111</v>
      </c>
      <c r="E29" s="5">
        <v>-1.1000000000000001</v>
      </c>
      <c r="F29" s="5">
        <v>129.03</v>
      </c>
      <c r="G29" s="3">
        <v>7</v>
      </c>
      <c r="H29" s="3">
        <v>13</v>
      </c>
      <c r="I29" s="43">
        <v>16</v>
      </c>
      <c r="J29" s="43">
        <v>3</v>
      </c>
      <c r="L29" s="31">
        <f t="shared" si="0"/>
        <v>0.95967741935483875</v>
      </c>
      <c r="M29" s="31">
        <f t="shared" si="1"/>
        <v>1</v>
      </c>
      <c r="N29" s="31">
        <f t="shared" si="2"/>
        <v>0.26923076923076922</v>
      </c>
      <c r="O29" s="31">
        <f t="shared" si="3"/>
        <v>0.30769230769230771</v>
      </c>
      <c r="P29" s="31">
        <f t="shared" si="4"/>
        <v>0.15384615384615385</v>
      </c>
      <c r="Q29" s="31">
        <f t="shared" si="5"/>
        <v>0.2</v>
      </c>
      <c r="S29" s="5">
        <v>0.95967741935483875</v>
      </c>
      <c r="T29" s="5">
        <v>1</v>
      </c>
      <c r="U29" s="5">
        <f t="shared" si="6"/>
        <v>0.57580645161290334</v>
      </c>
      <c r="V29" s="5">
        <f t="shared" si="7"/>
        <v>0.4</v>
      </c>
      <c r="W29" s="44">
        <f t="shared" si="8"/>
        <v>0.97580645161290336</v>
      </c>
      <c r="X29" s="45">
        <v>0.26923076923076922</v>
      </c>
      <c r="Y29" s="45">
        <v>0.30769230769230771</v>
      </c>
      <c r="Z29" s="5">
        <f t="shared" si="9"/>
        <v>6.7307692307692304E-2</v>
      </c>
      <c r="AA29" s="5">
        <f t="shared" si="10"/>
        <v>0.23076923076923078</v>
      </c>
      <c r="AB29" s="44">
        <f t="shared" si="11"/>
        <v>0.29807692307692307</v>
      </c>
    </row>
    <row r="30" spans="1:28">
      <c r="A30" s="3" t="s">
        <v>4</v>
      </c>
      <c r="B30" s="3" t="s">
        <v>11</v>
      </c>
      <c r="C30" s="3" t="s">
        <v>22</v>
      </c>
      <c r="D30" s="3">
        <v>112</v>
      </c>
      <c r="E30" s="5">
        <v>-8.35</v>
      </c>
      <c r="F30" s="5">
        <v>120.92</v>
      </c>
      <c r="G30" s="3">
        <v>7</v>
      </c>
      <c r="H30" s="3">
        <v>31</v>
      </c>
      <c r="I30" s="43">
        <v>15</v>
      </c>
      <c r="J30" s="43">
        <v>1</v>
      </c>
      <c r="L30" s="31">
        <f t="shared" si="0"/>
        <v>0.75086405529953926</v>
      </c>
      <c r="M30" s="31">
        <f t="shared" si="1"/>
        <v>0.67969984202211697</v>
      </c>
      <c r="N30" s="31">
        <f t="shared" si="2"/>
        <v>0.26923076923076922</v>
      </c>
      <c r="O30" s="31">
        <f t="shared" si="3"/>
        <v>1</v>
      </c>
      <c r="P30" s="31">
        <f t="shared" si="4"/>
        <v>0.13461538461538461</v>
      </c>
      <c r="Q30" s="31">
        <f t="shared" si="5"/>
        <v>6.6666666666666666E-2</v>
      </c>
      <c r="S30" s="5">
        <v>0.75086405529953926</v>
      </c>
      <c r="T30" s="5">
        <v>0.67969984202211697</v>
      </c>
      <c r="U30" s="5">
        <f t="shared" si="6"/>
        <v>0.45051843317972357</v>
      </c>
      <c r="V30" s="5">
        <f t="shared" si="7"/>
        <v>0.27187993680884681</v>
      </c>
      <c r="W30" s="44">
        <f t="shared" si="8"/>
        <v>0.72239836998857032</v>
      </c>
      <c r="X30" s="45">
        <v>0.26923076923076922</v>
      </c>
      <c r="Y30" s="45">
        <v>1</v>
      </c>
      <c r="Z30" s="5">
        <f t="shared" si="9"/>
        <v>6.7307692307692304E-2</v>
      </c>
      <c r="AA30" s="5">
        <f t="shared" si="10"/>
        <v>0.75</v>
      </c>
      <c r="AB30" s="44">
        <f t="shared" si="11"/>
        <v>0.81730769230769229</v>
      </c>
    </row>
    <row r="31" spans="1:28">
      <c r="A31" s="3" t="s">
        <v>4</v>
      </c>
      <c r="B31" s="3" t="s">
        <v>5</v>
      </c>
      <c r="C31" s="3" t="s">
        <v>6</v>
      </c>
      <c r="D31" s="3">
        <v>139</v>
      </c>
      <c r="E31" s="5">
        <v>-29.59</v>
      </c>
      <c r="F31" s="5">
        <v>104.53</v>
      </c>
      <c r="G31" s="3">
        <v>14</v>
      </c>
      <c r="H31" s="3">
        <v>10</v>
      </c>
      <c r="I31" s="43">
        <v>15</v>
      </c>
      <c r="J31" s="43">
        <v>4</v>
      </c>
      <c r="L31" s="31">
        <f t="shared" si="0"/>
        <v>0.13911290322580652</v>
      </c>
      <c r="M31" s="31">
        <f t="shared" si="1"/>
        <v>3.2385466034755415E-2</v>
      </c>
      <c r="N31" s="31">
        <f t="shared" si="2"/>
        <v>0.53846153846153844</v>
      </c>
      <c r="O31" s="31">
        <f t="shared" si="3"/>
        <v>0.19230769230769232</v>
      </c>
      <c r="P31" s="31">
        <f t="shared" si="4"/>
        <v>0.13461538461538461</v>
      </c>
      <c r="Q31" s="31">
        <f t="shared" si="5"/>
        <v>0.26666666666666666</v>
      </c>
      <c r="S31" s="5">
        <v>0.13911290322580652</v>
      </c>
      <c r="T31" s="5">
        <v>3.2385466034755415E-2</v>
      </c>
      <c r="U31" s="5">
        <f t="shared" si="6"/>
        <v>8.3467741935483911E-2</v>
      </c>
      <c r="V31" s="5">
        <f t="shared" si="7"/>
        <v>1.2954186413902165E-2</v>
      </c>
      <c r="W31" s="44">
        <f t="shared" si="8"/>
        <v>9.642192834938608E-2</v>
      </c>
      <c r="X31" s="45">
        <v>0.53846153846153844</v>
      </c>
      <c r="Y31" s="45">
        <v>0.19230769230769232</v>
      </c>
      <c r="Z31" s="5">
        <f t="shared" si="9"/>
        <v>0.13461538461538461</v>
      </c>
      <c r="AA31" s="5">
        <f t="shared" si="10"/>
        <v>0.14423076923076925</v>
      </c>
      <c r="AB31" s="44">
        <f t="shared" si="11"/>
        <v>0.27884615384615385</v>
      </c>
    </row>
    <row r="32" spans="1:28">
      <c r="A32" s="3" t="s">
        <v>4</v>
      </c>
      <c r="B32" s="3" t="s">
        <v>5</v>
      </c>
      <c r="C32" s="3" t="s">
        <v>25</v>
      </c>
      <c r="D32" s="3">
        <v>140</v>
      </c>
      <c r="E32" s="5">
        <v>-34.42</v>
      </c>
      <c r="F32" s="5">
        <v>122.89</v>
      </c>
      <c r="G32" s="3">
        <v>11</v>
      </c>
      <c r="H32" s="3">
        <v>15</v>
      </c>
      <c r="I32" s="43">
        <v>20</v>
      </c>
      <c r="J32" s="43">
        <v>2</v>
      </c>
      <c r="L32" s="31">
        <f t="shared" si="0"/>
        <v>0</v>
      </c>
      <c r="M32" s="31">
        <f t="shared" si="1"/>
        <v>0.75750394944707744</v>
      </c>
      <c r="N32" s="31">
        <f t="shared" si="2"/>
        <v>0.42307692307692307</v>
      </c>
      <c r="O32" s="31">
        <f t="shared" si="3"/>
        <v>0.38461538461538464</v>
      </c>
      <c r="P32" s="31">
        <f t="shared" si="4"/>
        <v>0.23076923076923078</v>
      </c>
      <c r="Q32" s="31">
        <f t="shared" si="5"/>
        <v>0.13333333333333333</v>
      </c>
      <c r="S32" s="5">
        <v>0</v>
      </c>
      <c r="T32" s="5">
        <v>0.75750394944707744</v>
      </c>
      <c r="U32" s="5">
        <f t="shared" si="6"/>
        <v>0</v>
      </c>
      <c r="V32" s="5">
        <f t="shared" si="7"/>
        <v>0.30300157977883097</v>
      </c>
      <c r="W32" s="44">
        <f t="shared" si="8"/>
        <v>0.30300157977883097</v>
      </c>
      <c r="X32" s="45">
        <v>0.42307692307692307</v>
      </c>
      <c r="Y32" s="45">
        <v>0.38461538461538464</v>
      </c>
      <c r="Z32" s="5">
        <f t="shared" si="9"/>
        <v>0.10576923076923077</v>
      </c>
      <c r="AA32" s="5">
        <f t="shared" si="10"/>
        <v>0.28846153846153849</v>
      </c>
      <c r="AB32" s="44">
        <f t="shared" si="11"/>
        <v>0.39423076923076927</v>
      </c>
    </row>
    <row r="33" spans="1:28">
      <c r="A33" s="3" t="s">
        <v>4</v>
      </c>
      <c r="B33" s="3" t="s">
        <v>5</v>
      </c>
      <c r="C33" s="3" t="s">
        <v>28</v>
      </c>
      <c r="D33" s="3">
        <v>141</v>
      </c>
      <c r="E33" s="5">
        <v>-16.059999999999999</v>
      </c>
      <c r="F33" s="5">
        <v>109.72</v>
      </c>
      <c r="G33" s="3">
        <v>6</v>
      </c>
      <c r="H33" s="3">
        <v>13</v>
      </c>
      <c r="I33" s="43">
        <v>24</v>
      </c>
      <c r="J33" s="43">
        <v>6</v>
      </c>
      <c r="L33" s="31">
        <f t="shared" si="0"/>
        <v>0.52880184331797242</v>
      </c>
      <c r="M33" s="31">
        <f t="shared" si="1"/>
        <v>0.23736176935229081</v>
      </c>
      <c r="N33" s="31">
        <f t="shared" si="2"/>
        <v>0.23076923076923078</v>
      </c>
      <c r="O33" s="31">
        <f t="shared" si="3"/>
        <v>0.30769230769230771</v>
      </c>
      <c r="P33" s="31">
        <f t="shared" si="4"/>
        <v>0.30769230769230771</v>
      </c>
      <c r="Q33" s="31">
        <f t="shared" si="5"/>
        <v>0.4</v>
      </c>
      <c r="S33" s="5">
        <v>0.52880184331797242</v>
      </c>
      <c r="T33" s="5">
        <v>0.23736176935229081</v>
      </c>
      <c r="U33" s="5">
        <f t="shared" si="6"/>
        <v>0.31728110599078346</v>
      </c>
      <c r="V33" s="5">
        <f t="shared" si="7"/>
        <v>9.4944707740916318E-2</v>
      </c>
      <c r="W33" s="44">
        <f t="shared" si="8"/>
        <v>0.41222581373169975</v>
      </c>
      <c r="X33" s="45">
        <v>0.23076923076923078</v>
      </c>
      <c r="Y33" s="45">
        <v>0.30769230769230771</v>
      </c>
      <c r="Z33" s="5">
        <f t="shared" si="9"/>
        <v>5.7692307692307696E-2</v>
      </c>
      <c r="AA33" s="5">
        <f t="shared" si="10"/>
        <v>0.23076923076923078</v>
      </c>
      <c r="AB33" s="44">
        <f t="shared" si="11"/>
        <v>0.28846153846153849</v>
      </c>
    </row>
    <row r="34" spans="1:28">
      <c r="A34" s="3" t="s">
        <v>4</v>
      </c>
      <c r="B34" s="3" t="s">
        <v>5</v>
      </c>
      <c r="C34" s="3" t="s">
        <v>9</v>
      </c>
      <c r="D34" s="3">
        <v>142</v>
      </c>
      <c r="E34" s="5">
        <v>-26.63</v>
      </c>
      <c r="F34" s="5">
        <v>103.78</v>
      </c>
      <c r="G34" s="3">
        <v>26</v>
      </c>
      <c r="H34" s="3">
        <v>18</v>
      </c>
      <c r="I34" s="43">
        <v>21</v>
      </c>
      <c r="J34" s="43">
        <v>7</v>
      </c>
      <c r="L34" s="31">
        <f t="shared" si="0"/>
        <v>0.2243663594470047</v>
      </c>
      <c r="M34" s="31">
        <f t="shared" si="1"/>
        <v>2.764612954186705E-3</v>
      </c>
      <c r="N34" s="31">
        <f t="shared" si="2"/>
        <v>1</v>
      </c>
      <c r="O34" s="31">
        <f t="shared" si="3"/>
        <v>0.5</v>
      </c>
      <c r="P34" s="31">
        <f t="shared" si="4"/>
        <v>0.25</v>
      </c>
      <c r="Q34" s="31">
        <f t="shared" si="5"/>
        <v>0.46666666666666667</v>
      </c>
      <c r="S34" s="5">
        <v>0.2243663594470047</v>
      </c>
      <c r="T34" s="5">
        <v>2.764612954186705E-3</v>
      </c>
      <c r="U34" s="5">
        <f t="shared" si="6"/>
        <v>0.1346198156682028</v>
      </c>
      <c r="V34" s="5">
        <f t="shared" si="7"/>
        <v>1.1058451816746821E-3</v>
      </c>
      <c r="W34" s="44">
        <f t="shared" si="8"/>
        <v>0.13572566084987747</v>
      </c>
      <c r="X34" s="45">
        <v>1</v>
      </c>
      <c r="Y34" s="45">
        <v>0.5</v>
      </c>
      <c r="Z34" s="5">
        <f t="shared" si="9"/>
        <v>0.25</v>
      </c>
      <c r="AA34" s="5">
        <f t="shared" si="10"/>
        <v>0.375</v>
      </c>
      <c r="AB34" s="44">
        <f t="shared" si="11"/>
        <v>0.625</v>
      </c>
    </row>
    <row r="35" spans="1:28">
      <c r="A35" s="3" t="s">
        <v>4</v>
      </c>
      <c r="B35" s="3" t="s">
        <v>5</v>
      </c>
      <c r="C35" s="3" t="s">
        <v>29</v>
      </c>
      <c r="D35" s="3">
        <v>143</v>
      </c>
      <c r="E35" s="5">
        <v>-18.14</v>
      </c>
      <c r="F35" s="5">
        <v>110.51</v>
      </c>
      <c r="G35" s="3">
        <v>20</v>
      </c>
      <c r="H35" s="3">
        <v>11</v>
      </c>
      <c r="I35" s="43">
        <v>31</v>
      </c>
      <c r="J35" s="43">
        <v>6</v>
      </c>
      <c r="L35" s="31">
        <f t="shared" si="0"/>
        <v>0.46889400921658991</v>
      </c>
      <c r="M35" s="31">
        <f t="shared" si="1"/>
        <v>0.26856240126382341</v>
      </c>
      <c r="N35" s="31">
        <f t="shared" si="2"/>
        <v>0.76923076923076927</v>
      </c>
      <c r="O35" s="31">
        <f t="shared" si="3"/>
        <v>0.23076923076923078</v>
      </c>
      <c r="P35" s="31">
        <f t="shared" si="4"/>
        <v>0.44230769230769229</v>
      </c>
      <c r="Q35" s="31">
        <f t="shared" si="5"/>
        <v>0.4</v>
      </c>
      <c r="S35" s="5">
        <v>0.46889400921658991</v>
      </c>
      <c r="T35" s="5">
        <v>0.26856240126382341</v>
      </c>
      <c r="U35" s="5">
        <f t="shared" si="6"/>
        <v>0.28133640552995393</v>
      </c>
      <c r="V35" s="5">
        <f t="shared" si="7"/>
        <v>0.10742496050552935</v>
      </c>
      <c r="W35" s="44">
        <f t="shared" si="8"/>
        <v>0.38876136603548328</v>
      </c>
      <c r="X35" s="45">
        <v>0.76923076923076927</v>
      </c>
      <c r="Y35" s="45">
        <v>0.23076923076923078</v>
      </c>
      <c r="Z35" s="5">
        <f t="shared" si="9"/>
        <v>0.19230769230769232</v>
      </c>
      <c r="AA35" s="5">
        <f t="shared" si="10"/>
        <v>0.1730769230769231</v>
      </c>
      <c r="AB35" s="44">
        <f t="shared" si="11"/>
        <v>0.36538461538461542</v>
      </c>
    </row>
    <row r="36" spans="1:28">
      <c r="A36" s="3" t="s">
        <v>4</v>
      </c>
      <c r="B36" s="3" t="s">
        <v>5</v>
      </c>
      <c r="C36" s="3" t="s">
        <v>17</v>
      </c>
      <c r="D36" s="3">
        <v>144</v>
      </c>
      <c r="E36" s="5">
        <v>-29.13</v>
      </c>
      <c r="F36" s="5">
        <v>118.58</v>
      </c>
      <c r="G36" s="3">
        <v>14</v>
      </c>
      <c r="H36" s="3">
        <v>10</v>
      </c>
      <c r="I36" s="43">
        <v>24</v>
      </c>
      <c r="J36" s="43">
        <v>4</v>
      </c>
      <c r="L36" s="31">
        <f t="shared" si="0"/>
        <v>0.15236175115207382</v>
      </c>
      <c r="M36" s="31">
        <f t="shared" si="1"/>
        <v>0.58728278041074256</v>
      </c>
      <c r="N36" s="31">
        <f t="shared" si="2"/>
        <v>0.53846153846153844</v>
      </c>
      <c r="O36" s="31">
        <f t="shared" si="3"/>
        <v>0.19230769230769232</v>
      </c>
      <c r="P36" s="31">
        <f t="shared" si="4"/>
        <v>0.30769230769230771</v>
      </c>
      <c r="Q36" s="31">
        <f t="shared" si="5"/>
        <v>0.26666666666666666</v>
      </c>
      <c r="S36" s="5">
        <v>0.15236175115207382</v>
      </c>
      <c r="T36" s="5">
        <v>0.58728278041074256</v>
      </c>
      <c r="U36" s="5">
        <f t="shared" si="6"/>
        <v>9.1417050691244298E-2</v>
      </c>
      <c r="V36" s="5">
        <f t="shared" si="7"/>
        <v>0.234913112164297</v>
      </c>
      <c r="W36" s="44">
        <f t="shared" si="8"/>
        <v>0.32633016285554128</v>
      </c>
      <c r="X36" s="45">
        <v>0.53846153846153844</v>
      </c>
      <c r="Y36" s="45">
        <v>0.19230769230769232</v>
      </c>
      <c r="Z36" s="5">
        <f t="shared" si="9"/>
        <v>0.13461538461538461</v>
      </c>
      <c r="AA36" s="5">
        <f t="shared" si="10"/>
        <v>0.14423076923076925</v>
      </c>
      <c r="AB36" s="44">
        <f t="shared" si="11"/>
        <v>0.27884615384615385</v>
      </c>
    </row>
    <row r="37" spans="1:28">
      <c r="A37" s="3" t="s">
        <v>4</v>
      </c>
      <c r="B37" s="3" t="s">
        <v>5</v>
      </c>
      <c r="C37" s="3" t="s">
        <v>39</v>
      </c>
      <c r="D37" s="3">
        <v>145</v>
      </c>
      <c r="E37" s="5">
        <v>-12.12</v>
      </c>
      <c r="F37" s="5">
        <v>112.11</v>
      </c>
      <c r="G37" s="3">
        <v>9</v>
      </c>
      <c r="H37" s="3">
        <v>12</v>
      </c>
      <c r="I37" s="43">
        <v>20</v>
      </c>
      <c r="J37" s="43">
        <v>3</v>
      </c>
      <c r="L37" s="31">
        <f t="shared" si="0"/>
        <v>0.64228110599078359</v>
      </c>
      <c r="M37" s="31">
        <f t="shared" si="1"/>
        <v>0.33175355450236982</v>
      </c>
      <c r="N37" s="31">
        <f t="shared" si="2"/>
        <v>0.34615384615384615</v>
      </c>
      <c r="O37" s="31">
        <f t="shared" si="3"/>
        <v>0.26923076923076922</v>
      </c>
      <c r="P37" s="31">
        <f t="shared" si="4"/>
        <v>0.23076923076923078</v>
      </c>
      <c r="Q37" s="31">
        <f t="shared" si="5"/>
        <v>0.2</v>
      </c>
      <c r="S37" s="5">
        <v>0.64228110599078359</v>
      </c>
      <c r="T37" s="5">
        <v>0.33175355450236982</v>
      </c>
      <c r="U37" s="5">
        <f t="shared" si="6"/>
        <v>0.3853686635944702</v>
      </c>
      <c r="V37" s="5">
        <f t="shared" si="7"/>
        <v>0.13270142180094791</v>
      </c>
      <c r="W37" s="44">
        <f t="shared" si="8"/>
        <v>0.5180700853954181</v>
      </c>
      <c r="X37" s="45">
        <v>0.34615384615384615</v>
      </c>
      <c r="Y37" s="45">
        <v>0.26923076923076922</v>
      </c>
      <c r="Z37" s="5">
        <f t="shared" si="9"/>
        <v>8.6538461538461536E-2</v>
      </c>
      <c r="AA37" s="5">
        <f t="shared" si="10"/>
        <v>0.20192307692307693</v>
      </c>
      <c r="AB37" s="44">
        <f t="shared" si="11"/>
        <v>0.28846153846153844</v>
      </c>
    </row>
    <row r="38" spans="1:28">
      <c r="A38" s="3" t="s">
        <v>4</v>
      </c>
      <c r="B38" s="3" t="s">
        <v>5</v>
      </c>
      <c r="C38" s="3" t="s">
        <v>5</v>
      </c>
      <c r="D38" s="3">
        <v>146</v>
      </c>
      <c r="E38" s="5">
        <v>-13.06</v>
      </c>
      <c r="F38" s="5">
        <v>115.36</v>
      </c>
      <c r="G38" s="3">
        <v>8</v>
      </c>
      <c r="H38" s="3">
        <v>15</v>
      </c>
      <c r="I38" s="43">
        <v>32</v>
      </c>
      <c r="J38" s="43">
        <v>4</v>
      </c>
      <c r="L38" s="31">
        <f t="shared" si="0"/>
        <v>0.61520737327188946</v>
      </c>
      <c r="M38" s="31">
        <f t="shared" si="1"/>
        <v>0.46011058451816755</v>
      </c>
      <c r="N38" s="31">
        <f t="shared" si="2"/>
        <v>0.30769230769230771</v>
      </c>
      <c r="O38" s="31">
        <f t="shared" si="3"/>
        <v>0.38461538461538464</v>
      </c>
      <c r="P38" s="31">
        <f t="shared" si="4"/>
        <v>0.46153846153846156</v>
      </c>
      <c r="Q38" s="31">
        <f t="shared" si="5"/>
        <v>0.26666666666666666</v>
      </c>
      <c r="S38" s="5">
        <v>0.61520737327188946</v>
      </c>
      <c r="T38" s="5">
        <v>0.46011058451816755</v>
      </c>
      <c r="U38" s="5">
        <f t="shared" si="6"/>
        <v>0.36912442396313366</v>
      </c>
      <c r="V38" s="5">
        <f t="shared" si="7"/>
        <v>0.18404423380726703</v>
      </c>
      <c r="W38" s="44">
        <f t="shared" si="8"/>
        <v>0.5531686577704007</v>
      </c>
      <c r="X38" s="45">
        <v>0.30769230769230771</v>
      </c>
      <c r="Y38" s="45">
        <v>0.38461538461538464</v>
      </c>
      <c r="Z38" s="5">
        <f t="shared" si="9"/>
        <v>7.6923076923076927E-2</v>
      </c>
      <c r="AA38" s="5">
        <f t="shared" si="10"/>
        <v>0.28846153846153849</v>
      </c>
      <c r="AB38" s="44">
        <f t="shared" si="11"/>
        <v>0.36538461538461542</v>
      </c>
    </row>
    <row r="39" spans="1:28">
      <c r="A39" s="3" t="s">
        <v>4</v>
      </c>
      <c r="B39" s="3" t="s">
        <v>5</v>
      </c>
      <c r="C39" s="3" t="s">
        <v>31</v>
      </c>
      <c r="D39" s="3">
        <v>147</v>
      </c>
      <c r="E39" s="5">
        <v>-19.7</v>
      </c>
      <c r="F39" s="5">
        <v>108.91</v>
      </c>
      <c r="G39" s="3">
        <v>18</v>
      </c>
      <c r="H39" s="3">
        <v>11</v>
      </c>
      <c r="I39" s="43">
        <v>16</v>
      </c>
      <c r="J39" s="43">
        <v>6</v>
      </c>
      <c r="L39" s="31">
        <f t="shared" si="0"/>
        <v>0.4239631336405531</v>
      </c>
      <c r="M39" s="31">
        <f t="shared" si="1"/>
        <v>0.20537124802527651</v>
      </c>
      <c r="N39" s="31">
        <f t="shared" si="2"/>
        <v>0.69230769230769229</v>
      </c>
      <c r="O39" s="31">
        <f t="shared" si="3"/>
        <v>0.23076923076923078</v>
      </c>
      <c r="P39" s="31">
        <f t="shared" si="4"/>
        <v>0.15384615384615385</v>
      </c>
      <c r="Q39" s="31">
        <f t="shared" si="5"/>
        <v>0.4</v>
      </c>
      <c r="S39" s="5">
        <v>0.4239631336405531</v>
      </c>
      <c r="T39" s="5">
        <v>0.20537124802527651</v>
      </c>
      <c r="U39" s="5">
        <f t="shared" si="6"/>
        <v>0.25437788018433183</v>
      </c>
      <c r="V39" s="5">
        <f t="shared" si="7"/>
        <v>8.2148499210110609E-2</v>
      </c>
      <c r="W39" s="44">
        <f t="shared" si="8"/>
        <v>0.33652637939444241</v>
      </c>
      <c r="X39" s="45">
        <v>0.69230769230769229</v>
      </c>
      <c r="Y39" s="45">
        <v>0.23076923076923078</v>
      </c>
      <c r="Z39" s="5">
        <f t="shared" si="9"/>
        <v>0.17307692307692307</v>
      </c>
      <c r="AA39" s="5">
        <f t="shared" si="10"/>
        <v>0.1730769230769231</v>
      </c>
      <c r="AB39" s="44">
        <f t="shared" si="11"/>
        <v>0.34615384615384615</v>
      </c>
    </row>
    <row r="40" spans="1:28">
      <c r="A40" s="3" t="s">
        <v>4</v>
      </c>
      <c r="B40" s="3" t="s">
        <v>5</v>
      </c>
      <c r="C40" s="3" t="s">
        <v>41</v>
      </c>
      <c r="D40" s="3">
        <v>148</v>
      </c>
      <c r="E40" s="5">
        <v>-28.96</v>
      </c>
      <c r="F40" s="5">
        <v>106.58</v>
      </c>
      <c r="G40" s="3">
        <v>16</v>
      </c>
      <c r="H40" s="3">
        <v>15</v>
      </c>
      <c r="I40" s="43">
        <v>24</v>
      </c>
      <c r="J40" s="43">
        <v>2</v>
      </c>
      <c r="L40" s="31">
        <f t="shared" si="0"/>
        <v>0.15725806451612906</v>
      </c>
      <c r="M40" s="31">
        <f t="shared" si="1"/>
        <v>0.11334913112164312</v>
      </c>
      <c r="N40" s="31">
        <f t="shared" si="2"/>
        <v>0.61538461538461542</v>
      </c>
      <c r="O40" s="31">
        <f t="shared" si="3"/>
        <v>0.38461538461538464</v>
      </c>
      <c r="P40" s="31">
        <f t="shared" si="4"/>
        <v>0.30769230769230771</v>
      </c>
      <c r="Q40" s="31">
        <f t="shared" si="5"/>
        <v>0.13333333333333333</v>
      </c>
      <c r="S40" s="5">
        <v>0.15725806451612906</v>
      </c>
      <c r="T40" s="5">
        <v>0.11334913112164312</v>
      </c>
      <c r="U40" s="5">
        <f t="shared" si="6"/>
        <v>9.4354838709677438E-2</v>
      </c>
      <c r="V40" s="5">
        <f t="shared" si="7"/>
        <v>4.5339652448657251E-2</v>
      </c>
      <c r="W40" s="44">
        <f t="shared" si="8"/>
        <v>0.13969449115833468</v>
      </c>
      <c r="X40" s="45">
        <v>0.61538461538461542</v>
      </c>
      <c r="Y40" s="45">
        <v>0.38461538461538464</v>
      </c>
      <c r="Z40" s="5">
        <f t="shared" si="9"/>
        <v>0.15384615384615385</v>
      </c>
      <c r="AA40" s="5">
        <f t="shared" si="10"/>
        <v>0.28846153846153849</v>
      </c>
      <c r="AB40" s="44">
        <f t="shared" si="11"/>
        <v>0.44230769230769235</v>
      </c>
    </row>
    <row r="41" spans="1:28">
      <c r="A41" s="3" t="s">
        <v>4</v>
      </c>
      <c r="B41" s="3" t="s">
        <v>5</v>
      </c>
      <c r="C41" s="3" t="s">
        <v>42</v>
      </c>
      <c r="D41" s="3">
        <v>149</v>
      </c>
      <c r="E41" s="5">
        <v>-16.29</v>
      </c>
      <c r="F41" s="5">
        <v>112.37</v>
      </c>
      <c r="G41" s="3">
        <v>12</v>
      </c>
      <c r="H41" s="3">
        <v>16</v>
      </c>
      <c r="I41" s="43">
        <v>20</v>
      </c>
      <c r="J41" s="43">
        <v>4</v>
      </c>
      <c r="L41" s="31">
        <f t="shared" si="0"/>
        <v>0.52217741935483875</v>
      </c>
      <c r="M41" s="31">
        <f t="shared" si="1"/>
        <v>0.34202211690363382</v>
      </c>
      <c r="N41" s="31">
        <f t="shared" si="2"/>
        <v>0.46153846153846156</v>
      </c>
      <c r="O41" s="31">
        <f t="shared" si="3"/>
        <v>0.42307692307692307</v>
      </c>
      <c r="P41" s="31">
        <f t="shared" si="4"/>
        <v>0.23076923076923078</v>
      </c>
      <c r="Q41" s="31">
        <f t="shared" si="5"/>
        <v>0.26666666666666666</v>
      </c>
      <c r="S41" s="5">
        <v>0.52217741935483875</v>
      </c>
      <c r="T41" s="5">
        <v>0.34202211690363382</v>
      </c>
      <c r="U41" s="5">
        <f t="shared" si="6"/>
        <v>0.31330645161290327</v>
      </c>
      <c r="V41" s="5">
        <f t="shared" si="7"/>
        <v>0.13680884676145352</v>
      </c>
      <c r="W41" s="44">
        <f t="shared" si="8"/>
        <v>0.45011529837435682</v>
      </c>
      <c r="X41" s="45">
        <v>0.46153846153846156</v>
      </c>
      <c r="Y41" s="45">
        <v>0.42307692307692307</v>
      </c>
      <c r="Z41" s="5">
        <f t="shared" si="9"/>
        <v>0.11538461538461539</v>
      </c>
      <c r="AA41" s="5">
        <f t="shared" si="10"/>
        <v>0.31730769230769229</v>
      </c>
      <c r="AB41" s="44">
        <f t="shared" si="11"/>
        <v>0.43269230769230771</v>
      </c>
    </row>
    <row r="42" spans="1:28">
      <c r="A42" s="3" t="s">
        <v>4</v>
      </c>
      <c r="B42" s="3" t="s">
        <v>5</v>
      </c>
      <c r="C42" s="3" t="s">
        <v>34</v>
      </c>
      <c r="D42" s="3">
        <v>150</v>
      </c>
      <c r="E42" s="5">
        <v>-30.87</v>
      </c>
      <c r="F42" s="5">
        <v>103.71</v>
      </c>
      <c r="G42" s="3">
        <v>8</v>
      </c>
      <c r="H42" s="3">
        <v>20</v>
      </c>
      <c r="I42" s="43">
        <v>27</v>
      </c>
      <c r="J42" s="43">
        <v>9</v>
      </c>
      <c r="L42" s="31">
        <f t="shared" si="0"/>
        <v>0.10224654377880187</v>
      </c>
      <c r="M42" s="31">
        <f t="shared" si="1"/>
        <v>0</v>
      </c>
      <c r="N42" s="31">
        <f t="shared" si="2"/>
        <v>0.30769230769230771</v>
      </c>
      <c r="O42" s="31">
        <f t="shared" si="3"/>
        <v>0.57692307692307687</v>
      </c>
      <c r="P42" s="31">
        <f t="shared" si="4"/>
        <v>0.36538461538461536</v>
      </c>
      <c r="Q42" s="31">
        <f t="shared" si="5"/>
        <v>0.6</v>
      </c>
      <c r="S42" s="5">
        <v>0.10224654377880187</v>
      </c>
      <c r="T42" s="5">
        <v>0</v>
      </c>
      <c r="U42" s="5">
        <f t="shared" si="6"/>
        <v>6.1347926267281125E-2</v>
      </c>
      <c r="V42" s="5">
        <f t="shared" si="7"/>
        <v>0</v>
      </c>
      <c r="W42" s="44">
        <f t="shared" si="8"/>
        <v>6.1347926267281125E-2</v>
      </c>
      <c r="X42" s="45">
        <v>0.30769230769230771</v>
      </c>
      <c r="Y42" s="45">
        <v>0.57692307692307687</v>
      </c>
      <c r="Z42" s="5">
        <f t="shared" si="9"/>
        <v>7.6923076923076927E-2</v>
      </c>
      <c r="AA42" s="5">
        <f t="shared" si="10"/>
        <v>0.43269230769230765</v>
      </c>
      <c r="AB42" s="44">
        <f t="shared" si="11"/>
        <v>0.50961538461538458</v>
      </c>
    </row>
    <row r="43" spans="1:28">
      <c r="A43" s="3" t="s">
        <v>4</v>
      </c>
      <c r="B43" s="3" t="s">
        <v>5</v>
      </c>
      <c r="C43" s="3" t="s">
        <v>18</v>
      </c>
      <c r="D43" s="3">
        <v>151</v>
      </c>
      <c r="E43" s="5">
        <v>-33.57</v>
      </c>
      <c r="F43" s="5">
        <v>124.35</v>
      </c>
      <c r="G43" s="3">
        <v>4</v>
      </c>
      <c r="H43" s="3">
        <v>15</v>
      </c>
      <c r="I43" s="43">
        <v>22</v>
      </c>
      <c r="J43" s="43">
        <v>5</v>
      </c>
      <c r="L43" s="31">
        <f t="shared" si="0"/>
        <v>2.4481566820276541E-2</v>
      </c>
      <c r="M43" s="31">
        <f t="shared" si="1"/>
        <v>0.81516587677725094</v>
      </c>
      <c r="N43" s="31">
        <f t="shared" si="2"/>
        <v>0.15384615384615385</v>
      </c>
      <c r="O43" s="31">
        <f t="shared" si="3"/>
        <v>0.38461538461538464</v>
      </c>
      <c r="P43" s="31">
        <f t="shared" si="4"/>
        <v>0.26923076923076922</v>
      </c>
      <c r="Q43" s="31">
        <f t="shared" si="5"/>
        <v>0.33333333333333331</v>
      </c>
      <c r="S43" s="5">
        <v>2.4481566820276541E-2</v>
      </c>
      <c r="T43" s="5">
        <v>0.81516587677725094</v>
      </c>
      <c r="U43" s="5">
        <f t="shared" si="6"/>
        <v>1.4688940092165925E-2</v>
      </c>
      <c r="V43" s="5">
        <f t="shared" si="7"/>
        <v>0.3260663507109004</v>
      </c>
      <c r="W43" s="44">
        <f t="shared" si="8"/>
        <v>0.34075529080306632</v>
      </c>
      <c r="X43" s="45">
        <v>0.15384615384615385</v>
      </c>
      <c r="Y43" s="45">
        <v>0.38461538461538464</v>
      </c>
      <c r="Z43" s="5">
        <f t="shared" si="9"/>
        <v>3.8461538461538464E-2</v>
      </c>
      <c r="AA43" s="5">
        <f t="shared" si="10"/>
        <v>0.28846153846153849</v>
      </c>
      <c r="AB43" s="44">
        <f t="shared" si="11"/>
        <v>0.32692307692307698</v>
      </c>
    </row>
    <row r="44" spans="1:28">
      <c r="A44" s="3" t="s">
        <v>4</v>
      </c>
      <c r="B44" s="3" t="s">
        <v>5</v>
      </c>
      <c r="C44" s="3" t="s">
        <v>30</v>
      </c>
      <c r="D44" s="3">
        <v>152</v>
      </c>
      <c r="E44" s="5">
        <v>-13.37</v>
      </c>
      <c r="F44" s="5">
        <v>106.61</v>
      </c>
      <c r="G44" s="3">
        <v>9</v>
      </c>
      <c r="H44" s="3">
        <v>19</v>
      </c>
      <c r="I44" s="43">
        <v>27</v>
      </c>
      <c r="J44" s="43">
        <v>3</v>
      </c>
      <c r="L44" s="31">
        <f t="shared" si="0"/>
        <v>0.60627880184331806</v>
      </c>
      <c r="M44" s="31">
        <f t="shared" si="1"/>
        <v>0.11453396524486591</v>
      </c>
      <c r="N44" s="31">
        <f t="shared" si="2"/>
        <v>0.34615384615384615</v>
      </c>
      <c r="O44" s="31">
        <f t="shared" si="3"/>
        <v>0.53846153846153844</v>
      </c>
      <c r="P44" s="31">
        <f t="shared" si="4"/>
        <v>0.36538461538461536</v>
      </c>
      <c r="Q44" s="31">
        <f t="shared" si="5"/>
        <v>0.2</v>
      </c>
      <c r="S44" s="5">
        <v>0.60627880184331806</v>
      </c>
      <c r="T44" s="5">
        <v>0.11453396524486591</v>
      </c>
      <c r="U44" s="5">
        <f t="shared" si="6"/>
        <v>0.36376728110599083</v>
      </c>
      <c r="V44" s="5">
        <f t="shared" si="7"/>
        <v>4.5813586097946363E-2</v>
      </c>
      <c r="W44" s="44">
        <f t="shared" si="8"/>
        <v>0.40958086720393716</v>
      </c>
      <c r="X44" s="45">
        <v>0.34615384615384615</v>
      </c>
      <c r="Y44" s="45">
        <v>0.53846153846153844</v>
      </c>
      <c r="Z44" s="5">
        <f t="shared" si="9"/>
        <v>8.6538461538461536E-2</v>
      </c>
      <c r="AA44" s="5">
        <f t="shared" si="10"/>
        <v>0.40384615384615385</v>
      </c>
      <c r="AB44" s="44">
        <f t="shared" si="11"/>
        <v>0.49038461538461542</v>
      </c>
    </row>
  </sheetData>
  <mergeCells count="2">
    <mergeCell ref="E2:J2"/>
    <mergeCell ref="S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6E1B-7CFE-4728-81E9-9E221BE4E41F}">
  <sheetPr>
    <tabColor theme="4" tint="0.79998168889431442"/>
  </sheetPr>
  <dimension ref="A1:N44"/>
  <sheetViews>
    <sheetView topLeftCell="C1" workbookViewId="0">
      <selection activeCell="C2" sqref="C2"/>
    </sheetView>
  </sheetViews>
  <sheetFormatPr defaultRowHeight="14.25"/>
  <cols>
    <col min="1" max="1" width="13.125" style="14" customWidth="1"/>
    <col min="2" max="2" width="12.125" style="14" bestFit="1" customWidth="1"/>
    <col min="3" max="3" width="30.25" style="14" bestFit="1" customWidth="1"/>
    <col min="4" max="4" width="9.25" style="14" bestFit="1" customWidth="1"/>
    <col min="5" max="5" width="30.25" style="9" bestFit="1" customWidth="1"/>
    <col min="6" max="6" width="34" style="9" bestFit="1" customWidth="1"/>
    <col min="7" max="7" width="18.125" style="9" bestFit="1" customWidth="1"/>
    <col min="8" max="8" width="44.875" style="9" bestFit="1" customWidth="1"/>
    <col min="9" max="9" width="12.625" style="9" customWidth="1"/>
    <col min="10" max="10" width="21" style="9" bestFit="1" customWidth="1"/>
    <col min="11" max="11" width="14.75" style="9" bestFit="1" customWidth="1"/>
    <col min="12" max="12" width="19.375" style="9" bestFit="1" customWidth="1"/>
    <col min="13" max="16384" width="9" style="9"/>
  </cols>
  <sheetData>
    <row r="1" spans="1:14">
      <c r="E1" s="9" t="s">
        <v>88</v>
      </c>
      <c r="F1" s="9" t="s">
        <v>73</v>
      </c>
      <c r="G1" s="9" t="s">
        <v>77</v>
      </c>
      <c r="H1" s="9" t="s">
        <v>80</v>
      </c>
      <c r="I1" s="9" t="s">
        <v>89</v>
      </c>
      <c r="J1" s="9" t="s">
        <v>91</v>
      </c>
      <c r="K1" s="9" t="s">
        <v>94</v>
      </c>
      <c r="L1" s="9" t="s">
        <v>96</v>
      </c>
    </row>
    <row r="4" spans="1:14" ht="30">
      <c r="A4" s="7" t="s">
        <v>0</v>
      </c>
      <c r="B4" s="7" t="s">
        <v>1</v>
      </c>
      <c r="C4" s="7" t="s">
        <v>2</v>
      </c>
      <c r="D4" s="7" t="s">
        <v>3</v>
      </c>
      <c r="E4" s="6" t="s">
        <v>45</v>
      </c>
      <c r="F4" s="8" t="s">
        <v>46</v>
      </c>
      <c r="G4" s="8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</row>
    <row r="5" spans="1:14">
      <c r="A5" s="10" t="s">
        <v>4</v>
      </c>
      <c r="B5" s="10" t="s">
        <v>7</v>
      </c>
      <c r="C5" s="10" t="s">
        <v>7</v>
      </c>
      <c r="D5" s="10">
        <v>69</v>
      </c>
      <c r="E5" s="11">
        <v>0</v>
      </c>
      <c r="F5" s="12">
        <v>0</v>
      </c>
      <c r="G5" s="13">
        <v>10</v>
      </c>
      <c r="H5" s="10">
        <v>4.5248868778280542</v>
      </c>
      <c r="I5" s="11">
        <v>124.58</v>
      </c>
      <c r="J5" s="11">
        <v>5.08</v>
      </c>
      <c r="K5" s="12">
        <v>0.3</v>
      </c>
      <c r="L5" s="10">
        <v>2394.4761904799998</v>
      </c>
      <c r="M5" s="16" t="s">
        <v>53</v>
      </c>
    </row>
    <row r="6" spans="1:14" ht="16.5">
      <c r="A6" s="10" t="s">
        <v>4</v>
      </c>
      <c r="B6" s="10" t="s">
        <v>7</v>
      </c>
      <c r="C6" s="10" t="s">
        <v>14</v>
      </c>
      <c r="D6" s="10">
        <v>70</v>
      </c>
      <c r="E6" s="11">
        <v>0</v>
      </c>
      <c r="F6" s="12">
        <v>0</v>
      </c>
      <c r="G6" s="13">
        <v>15</v>
      </c>
      <c r="H6" s="10">
        <v>7.2815533980582519</v>
      </c>
      <c r="I6" s="11">
        <v>15.18</v>
      </c>
      <c r="J6" s="11">
        <v>1.79</v>
      </c>
      <c r="K6" s="12">
        <v>0</v>
      </c>
      <c r="L6" s="10">
        <v>2560.8888888900001</v>
      </c>
      <c r="M6" s="15" t="s">
        <v>54</v>
      </c>
      <c r="N6" s="4">
        <v>69</v>
      </c>
    </row>
    <row r="7" spans="1:14" ht="16.5">
      <c r="A7" s="10" t="s">
        <v>4</v>
      </c>
      <c r="B7" s="10" t="s">
        <v>7</v>
      </c>
      <c r="C7" s="10" t="s">
        <v>38</v>
      </c>
      <c r="D7" s="10">
        <v>71</v>
      </c>
      <c r="E7" s="11">
        <v>521.70000000000005</v>
      </c>
      <c r="F7" s="12">
        <v>4.0323989485345049</v>
      </c>
      <c r="G7" s="13">
        <v>694</v>
      </c>
      <c r="H7" s="10">
        <v>9.8286361705140912</v>
      </c>
      <c r="I7" s="11">
        <v>193.47</v>
      </c>
      <c r="J7" s="11">
        <v>1.33</v>
      </c>
      <c r="K7" s="12">
        <v>10.4</v>
      </c>
      <c r="L7" s="10">
        <v>3674.6647398800001</v>
      </c>
      <c r="M7" s="15" t="s">
        <v>55</v>
      </c>
      <c r="N7" s="4">
        <v>70</v>
      </c>
    </row>
    <row r="8" spans="1:14" ht="16.5">
      <c r="A8" s="10" t="s">
        <v>4</v>
      </c>
      <c r="B8" s="10" t="s">
        <v>7</v>
      </c>
      <c r="C8" s="10" t="s">
        <v>8</v>
      </c>
      <c r="D8" s="10">
        <v>72</v>
      </c>
      <c r="E8" s="11">
        <v>1702.4</v>
      </c>
      <c r="F8" s="12">
        <v>15.882461968614081</v>
      </c>
      <c r="G8" s="13">
        <v>3247</v>
      </c>
      <c r="H8" s="10">
        <v>34.842794291232963</v>
      </c>
      <c r="I8" s="11">
        <v>90.49</v>
      </c>
      <c r="J8" s="11">
        <v>0.75</v>
      </c>
      <c r="K8" s="12">
        <v>2.8</v>
      </c>
      <c r="L8" s="10">
        <v>3239.5319148899998</v>
      </c>
      <c r="M8" s="15" t="s">
        <v>56</v>
      </c>
      <c r="N8" s="4">
        <v>77</v>
      </c>
    </row>
    <row r="9" spans="1:14" ht="16.5">
      <c r="A9" s="10" t="s">
        <v>4</v>
      </c>
      <c r="B9" s="10" t="s">
        <v>7</v>
      </c>
      <c r="C9" s="10" t="s">
        <v>37</v>
      </c>
      <c r="D9" s="10">
        <v>73</v>
      </c>
      <c r="E9" s="11">
        <v>638.6</v>
      </c>
      <c r="F9" s="12">
        <v>8.7515823405035356</v>
      </c>
      <c r="G9" s="13">
        <v>823</v>
      </c>
      <c r="H9" s="10">
        <v>18.687556766575842</v>
      </c>
      <c r="I9" s="11">
        <v>331.92</v>
      </c>
      <c r="J9" s="11">
        <v>3.83</v>
      </c>
      <c r="K9" s="12">
        <v>2.2999999999999998</v>
      </c>
      <c r="L9" s="10">
        <v>2943.3786407799998</v>
      </c>
      <c r="M9" s="15" t="s">
        <v>57</v>
      </c>
      <c r="N9" s="4">
        <v>79</v>
      </c>
    </row>
    <row r="10" spans="1:14" ht="16.5">
      <c r="A10" s="10" t="s">
        <v>4</v>
      </c>
      <c r="B10" s="10" t="s">
        <v>7</v>
      </c>
      <c r="C10" s="10" t="s">
        <v>13</v>
      </c>
      <c r="D10" s="10">
        <v>74</v>
      </c>
      <c r="E10" s="11">
        <v>507.4</v>
      </c>
      <c r="F10" s="12">
        <v>8.2803699053741795</v>
      </c>
      <c r="G10" s="13">
        <v>756</v>
      </c>
      <c r="H10" s="10">
        <v>25.116279069767444</v>
      </c>
      <c r="I10" s="11">
        <v>375.41</v>
      </c>
      <c r="J10" s="11">
        <v>6.11</v>
      </c>
      <c r="K10" s="12">
        <v>0.5</v>
      </c>
      <c r="L10" s="10">
        <v>2842.2567567599999</v>
      </c>
      <c r="M10" s="15" t="s">
        <v>58</v>
      </c>
      <c r="N10" s="4">
        <v>81</v>
      </c>
    </row>
    <row r="11" spans="1:14" ht="16.5">
      <c r="A11" s="10" t="s">
        <v>4</v>
      </c>
      <c r="B11" s="10" t="s">
        <v>7</v>
      </c>
      <c r="C11" s="10" t="s">
        <v>10</v>
      </c>
      <c r="D11" s="10">
        <v>75</v>
      </c>
      <c r="E11" s="11">
        <v>50.6</v>
      </c>
      <c r="F11" s="12">
        <v>1.8164918952065443</v>
      </c>
      <c r="G11" s="13">
        <v>40</v>
      </c>
      <c r="H11" s="10">
        <v>5.4794520547945202</v>
      </c>
      <c r="I11" s="11">
        <v>129.47999999999999</v>
      </c>
      <c r="J11" s="11">
        <v>4.99</v>
      </c>
      <c r="K11" s="12">
        <v>2.7</v>
      </c>
      <c r="L11" s="10">
        <v>2602.3000000000002</v>
      </c>
      <c r="M11" s="15" t="s">
        <v>59</v>
      </c>
      <c r="N11" s="4">
        <v>107</v>
      </c>
    </row>
    <row r="12" spans="1:14" ht="16.5">
      <c r="A12" s="10" t="s">
        <v>4</v>
      </c>
      <c r="B12" s="10" t="s">
        <v>7</v>
      </c>
      <c r="C12" s="10" t="s">
        <v>19</v>
      </c>
      <c r="D12" s="10">
        <v>76</v>
      </c>
      <c r="E12" s="11">
        <v>260.10000000000002</v>
      </c>
      <c r="F12" s="12">
        <v>8.2306595374850851</v>
      </c>
      <c r="G12" s="13">
        <v>484</v>
      </c>
      <c r="H12" s="10">
        <v>26.021505376344084</v>
      </c>
      <c r="I12" s="11">
        <v>51.36</v>
      </c>
      <c r="J12" s="11">
        <v>1.36</v>
      </c>
      <c r="K12" s="12">
        <v>0.2</v>
      </c>
      <c r="L12" s="10">
        <v>2879.3111111100002</v>
      </c>
      <c r="M12" s="15" t="s">
        <v>60</v>
      </c>
      <c r="N12" s="4">
        <v>111</v>
      </c>
    </row>
    <row r="13" spans="1:14">
      <c r="A13" s="10" t="s">
        <v>4</v>
      </c>
      <c r="B13" s="10" t="s">
        <v>7</v>
      </c>
      <c r="C13" s="10" t="s">
        <v>32</v>
      </c>
      <c r="D13" s="10">
        <v>77</v>
      </c>
      <c r="E13" s="11">
        <v>0</v>
      </c>
      <c r="F13" s="12">
        <v>5.1800856786171244E-3</v>
      </c>
      <c r="G13" s="13">
        <v>12</v>
      </c>
      <c r="H13" s="10">
        <v>2.5751072961373391</v>
      </c>
      <c r="I13" s="11">
        <v>267.64999999999998</v>
      </c>
      <c r="J13" s="11">
        <v>13.86</v>
      </c>
      <c r="K13" s="12">
        <v>0</v>
      </c>
      <c r="L13" s="10">
        <v>2664.4545454499998</v>
      </c>
    </row>
    <row r="14" spans="1:14">
      <c r="A14" s="10" t="s">
        <v>4</v>
      </c>
      <c r="B14" s="10" t="s">
        <v>7</v>
      </c>
      <c r="C14" s="10" t="s">
        <v>21</v>
      </c>
      <c r="D14" s="10">
        <v>78</v>
      </c>
      <c r="E14" s="11">
        <v>1104.8</v>
      </c>
      <c r="F14" s="12">
        <v>12.115202248069243</v>
      </c>
      <c r="G14" s="13">
        <v>2135</v>
      </c>
      <c r="H14" s="10">
        <v>34.324758842443728</v>
      </c>
      <c r="I14" s="11">
        <v>124.08</v>
      </c>
      <c r="J14" s="11">
        <v>1.17</v>
      </c>
      <c r="K14" s="12">
        <v>15.7</v>
      </c>
      <c r="L14" s="10">
        <v>3785.8130081300001</v>
      </c>
    </row>
    <row r="15" spans="1:14">
      <c r="A15" s="10" t="s">
        <v>4</v>
      </c>
      <c r="B15" s="10" t="s">
        <v>7</v>
      </c>
      <c r="C15" s="10" t="s">
        <v>33</v>
      </c>
      <c r="D15" s="10">
        <v>79</v>
      </c>
      <c r="E15" s="11">
        <v>0</v>
      </c>
      <c r="F15" s="12">
        <v>0</v>
      </c>
      <c r="G15" s="13">
        <v>14</v>
      </c>
      <c r="H15" s="10">
        <v>5.3639846743295019</v>
      </c>
      <c r="I15" s="11">
        <v>16.760000000000002</v>
      </c>
      <c r="J15" s="11">
        <v>1.3</v>
      </c>
      <c r="K15" s="12">
        <v>1.3</v>
      </c>
      <c r="L15" s="10">
        <v>2588.0666666699999</v>
      </c>
    </row>
    <row r="16" spans="1:14">
      <c r="A16" s="10" t="s">
        <v>4</v>
      </c>
      <c r="B16" s="10" t="s">
        <v>7</v>
      </c>
      <c r="C16" s="10" t="s">
        <v>44</v>
      </c>
      <c r="D16" s="10">
        <v>80</v>
      </c>
      <c r="E16" s="11">
        <v>2.1</v>
      </c>
      <c r="F16" s="12">
        <v>0.12257530720436367</v>
      </c>
      <c r="G16" s="13">
        <v>5</v>
      </c>
      <c r="H16" s="10">
        <v>2.2026431718061676</v>
      </c>
      <c r="I16" s="11">
        <v>127.2</v>
      </c>
      <c r="J16" s="11">
        <v>7.8</v>
      </c>
      <c r="K16" s="12">
        <v>0.8</v>
      </c>
      <c r="L16" s="10">
        <v>2609.5263157899999</v>
      </c>
    </row>
    <row r="17" spans="1:12">
      <c r="A17" s="10" t="s">
        <v>4</v>
      </c>
      <c r="B17" s="10" t="s">
        <v>7</v>
      </c>
      <c r="C17" s="10" t="s">
        <v>40</v>
      </c>
      <c r="D17" s="10">
        <v>81</v>
      </c>
      <c r="E17" s="11">
        <v>0</v>
      </c>
      <c r="F17" s="12">
        <v>0</v>
      </c>
      <c r="G17" s="13">
        <v>21</v>
      </c>
      <c r="H17" s="10">
        <v>5.1724137931034484</v>
      </c>
      <c r="I17" s="11">
        <v>26.15</v>
      </c>
      <c r="J17" s="11">
        <v>1.17</v>
      </c>
      <c r="K17" s="12">
        <v>0</v>
      </c>
      <c r="L17" s="10">
        <v>2490.0384615399998</v>
      </c>
    </row>
    <row r="18" spans="1:12">
      <c r="A18" s="10" t="s">
        <v>4</v>
      </c>
      <c r="B18" s="10" t="s">
        <v>11</v>
      </c>
      <c r="C18" s="10" t="s">
        <v>16</v>
      </c>
      <c r="D18" s="10">
        <v>100</v>
      </c>
      <c r="E18" s="11">
        <v>1748</v>
      </c>
      <c r="F18" s="12">
        <v>10.193529801961844</v>
      </c>
      <c r="G18" s="13">
        <v>3570</v>
      </c>
      <c r="H18" s="10">
        <v>29.75743935983996</v>
      </c>
      <c r="I18" s="11">
        <v>103.18</v>
      </c>
      <c r="J18" s="11">
        <v>0.67</v>
      </c>
      <c r="K18" s="12">
        <v>2.5</v>
      </c>
      <c r="L18" s="10">
        <v>2885.0494505500001</v>
      </c>
    </row>
    <row r="19" spans="1:12">
      <c r="A19" s="10" t="s">
        <v>4</v>
      </c>
      <c r="B19" s="10" t="s">
        <v>11</v>
      </c>
      <c r="C19" s="10" t="s">
        <v>26</v>
      </c>
      <c r="D19" s="10">
        <v>101</v>
      </c>
      <c r="E19" s="11">
        <v>521</v>
      </c>
      <c r="F19" s="12">
        <v>6.6599460713202694</v>
      </c>
      <c r="G19" s="13">
        <v>715</v>
      </c>
      <c r="H19" s="10">
        <v>18.850514104930134</v>
      </c>
      <c r="I19" s="11">
        <v>86.95</v>
      </c>
      <c r="J19" s="11">
        <v>1.43</v>
      </c>
      <c r="K19" s="12">
        <v>1.3</v>
      </c>
      <c r="L19" s="10">
        <v>2798.6486486499998</v>
      </c>
    </row>
    <row r="20" spans="1:12">
      <c r="A20" s="10" t="s">
        <v>4</v>
      </c>
      <c r="B20" s="10" t="s">
        <v>11</v>
      </c>
      <c r="C20" s="10" t="s">
        <v>27</v>
      </c>
      <c r="D20" s="10">
        <v>102</v>
      </c>
      <c r="E20" s="11">
        <v>2226</v>
      </c>
      <c r="F20" s="12">
        <v>10.413503098307583</v>
      </c>
      <c r="G20" s="13">
        <v>3588</v>
      </c>
      <c r="H20" s="10">
        <v>21.591045853893366</v>
      </c>
      <c r="I20" s="11">
        <v>178.09</v>
      </c>
      <c r="J20" s="11">
        <v>0.88</v>
      </c>
      <c r="K20" s="12">
        <v>2.7</v>
      </c>
      <c r="L20" s="10">
        <v>2275.7531380800001</v>
      </c>
    </row>
    <row r="21" spans="1:12">
      <c r="A21" s="10" t="s">
        <v>4</v>
      </c>
      <c r="B21" s="10" t="s">
        <v>11</v>
      </c>
      <c r="C21" s="10" t="s">
        <v>35</v>
      </c>
      <c r="D21" s="10">
        <v>103</v>
      </c>
      <c r="E21" s="11">
        <v>2267</v>
      </c>
      <c r="F21" s="12">
        <v>11.358048944925377</v>
      </c>
      <c r="G21" s="13">
        <v>4442</v>
      </c>
      <c r="H21" s="10">
        <v>26.223507881220854</v>
      </c>
      <c r="I21" s="11">
        <v>169.89</v>
      </c>
      <c r="J21" s="11">
        <v>0.95</v>
      </c>
      <c r="K21" s="12">
        <v>2.7</v>
      </c>
      <c r="L21" s="10">
        <v>3220.88679245</v>
      </c>
    </row>
    <row r="22" spans="1:12">
      <c r="A22" s="10" t="s">
        <v>4</v>
      </c>
      <c r="B22" s="10" t="s">
        <v>11</v>
      </c>
      <c r="C22" s="10" t="s">
        <v>11</v>
      </c>
      <c r="D22" s="10">
        <v>104</v>
      </c>
      <c r="E22" s="11">
        <v>1805</v>
      </c>
      <c r="F22" s="12">
        <v>17.67814279304201</v>
      </c>
      <c r="G22" s="13">
        <v>2297</v>
      </c>
      <c r="H22" s="10">
        <v>31.015392924655682</v>
      </c>
      <c r="I22" s="11">
        <v>98.2</v>
      </c>
      <c r="J22" s="11">
        <v>1.07</v>
      </c>
      <c r="K22" s="12">
        <v>0.7</v>
      </c>
      <c r="L22" s="10">
        <v>2620.95327103</v>
      </c>
    </row>
    <row r="23" spans="1:12">
      <c r="A23" s="10" t="s">
        <v>4</v>
      </c>
      <c r="B23" s="10" t="s">
        <v>11</v>
      </c>
      <c r="C23" s="10" t="s">
        <v>24</v>
      </c>
      <c r="D23" s="10">
        <v>105</v>
      </c>
      <c r="E23" s="11">
        <v>587</v>
      </c>
      <c r="F23" s="12">
        <v>5.6426613378423385</v>
      </c>
      <c r="G23" s="13">
        <v>642</v>
      </c>
      <c r="H23" s="10">
        <v>12.056338028169014</v>
      </c>
      <c r="I23" s="11">
        <v>78.73</v>
      </c>
      <c r="J23" s="11">
        <v>1.26</v>
      </c>
      <c r="K23" s="12">
        <v>1.7</v>
      </c>
      <c r="L23" s="10">
        <v>2342.8630137</v>
      </c>
    </row>
    <row r="24" spans="1:12">
      <c r="A24" s="10" t="s">
        <v>4</v>
      </c>
      <c r="B24" s="10" t="s">
        <v>11</v>
      </c>
      <c r="C24" s="10" t="s">
        <v>20</v>
      </c>
      <c r="D24" s="10">
        <v>106</v>
      </c>
      <c r="E24" s="11">
        <v>232</v>
      </c>
      <c r="F24" s="12">
        <v>0.96045922872109024</v>
      </c>
      <c r="G24" s="13">
        <v>185</v>
      </c>
      <c r="H24" s="10">
        <v>2.4208322428683591</v>
      </c>
      <c r="I24" s="11">
        <v>1041.3</v>
      </c>
      <c r="J24" s="11">
        <v>8.9700000000000006</v>
      </c>
      <c r="K24" s="12">
        <v>1.2</v>
      </c>
      <c r="L24" s="10">
        <v>2098.7633587800001</v>
      </c>
    </row>
    <row r="25" spans="1:12">
      <c r="A25" s="10" t="s">
        <v>4</v>
      </c>
      <c r="B25" s="10" t="s">
        <v>11</v>
      </c>
      <c r="C25" s="10" t="s">
        <v>23</v>
      </c>
      <c r="D25" s="10">
        <v>107</v>
      </c>
      <c r="E25" s="11">
        <v>0</v>
      </c>
      <c r="F25" s="12">
        <v>0</v>
      </c>
      <c r="G25" s="13">
        <v>12</v>
      </c>
      <c r="H25" s="10">
        <v>1.1342155009451798</v>
      </c>
      <c r="I25" s="11">
        <v>101.19</v>
      </c>
      <c r="J25" s="11">
        <v>4.6100000000000003</v>
      </c>
      <c r="K25" s="12">
        <v>0.4</v>
      </c>
      <c r="L25" s="10">
        <v>2489.84</v>
      </c>
    </row>
    <row r="26" spans="1:12">
      <c r="A26" s="10" t="s">
        <v>4</v>
      </c>
      <c r="B26" s="10" t="s">
        <v>11</v>
      </c>
      <c r="C26" s="10" t="s">
        <v>36</v>
      </c>
      <c r="D26" s="10">
        <v>108</v>
      </c>
      <c r="E26" s="11">
        <v>1246</v>
      </c>
      <c r="F26" s="12">
        <v>12.04728677555701</v>
      </c>
      <c r="G26" s="13">
        <v>2357</v>
      </c>
      <c r="H26" s="10">
        <v>30.710097719869704</v>
      </c>
      <c r="I26" s="11">
        <v>25.8</v>
      </c>
      <c r="J26" s="11">
        <v>0.27</v>
      </c>
      <c r="K26" s="12">
        <v>1.6</v>
      </c>
      <c r="L26" s="10">
        <v>2805.2</v>
      </c>
    </row>
    <row r="27" spans="1:12">
      <c r="A27" s="10" t="s">
        <v>4</v>
      </c>
      <c r="B27" s="10" t="s">
        <v>11</v>
      </c>
      <c r="C27" s="10" t="s">
        <v>12</v>
      </c>
      <c r="D27" s="10">
        <v>109</v>
      </c>
      <c r="E27" s="11">
        <v>1824</v>
      </c>
      <c r="F27" s="12">
        <v>12.900945413371421</v>
      </c>
      <c r="G27" s="13">
        <v>2753</v>
      </c>
      <c r="H27" s="10">
        <v>21.496056843913486</v>
      </c>
      <c r="I27" s="11">
        <v>62.12</v>
      </c>
      <c r="J27" s="11">
        <v>0.47</v>
      </c>
      <c r="K27" s="12">
        <v>0.7</v>
      </c>
      <c r="L27" s="10">
        <v>2384.4580645199999</v>
      </c>
    </row>
    <row r="28" spans="1:12">
      <c r="A28" s="10" t="s">
        <v>4</v>
      </c>
      <c r="B28" s="10" t="s">
        <v>11</v>
      </c>
      <c r="C28" s="10" t="s">
        <v>15</v>
      </c>
      <c r="D28" s="10">
        <v>110</v>
      </c>
      <c r="E28" s="11">
        <v>2211</v>
      </c>
      <c r="F28" s="12">
        <v>12.77111879704027</v>
      </c>
      <c r="G28" s="13">
        <v>5922</v>
      </c>
      <c r="H28" s="10">
        <v>36.122971818958156</v>
      </c>
      <c r="I28" s="11">
        <v>105.74</v>
      </c>
      <c r="J28" s="11">
        <v>0.56000000000000005</v>
      </c>
      <c r="K28" s="12">
        <v>7.2</v>
      </c>
      <c r="L28" s="10">
        <v>2595.2690582999999</v>
      </c>
    </row>
    <row r="29" spans="1:12">
      <c r="A29" s="10" t="s">
        <v>4</v>
      </c>
      <c r="B29" s="10" t="s">
        <v>11</v>
      </c>
      <c r="C29" s="10" t="s">
        <v>43</v>
      </c>
      <c r="D29" s="10">
        <v>111</v>
      </c>
      <c r="E29" s="11">
        <v>0</v>
      </c>
      <c r="F29" s="12">
        <v>0</v>
      </c>
      <c r="G29" s="13">
        <v>6</v>
      </c>
      <c r="H29" s="10">
        <v>0.43956043956043955</v>
      </c>
      <c r="I29" s="11">
        <v>2494.56</v>
      </c>
      <c r="J29" s="11">
        <v>47.55</v>
      </c>
      <c r="K29" s="12">
        <v>0.5</v>
      </c>
      <c r="L29" s="10">
        <v>1999.4285714299999</v>
      </c>
    </row>
    <row r="30" spans="1:12">
      <c r="A30" s="10" t="s">
        <v>4</v>
      </c>
      <c r="B30" s="10" t="s">
        <v>11</v>
      </c>
      <c r="C30" s="10" t="s">
        <v>22</v>
      </c>
      <c r="D30" s="10">
        <v>112</v>
      </c>
      <c r="E30" s="11">
        <v>28</v>
      </c>
      <c r="F30" s="12">
        <v>0.49498023577150457</v>
      </c>
      <c r="G30" s="13">
        <v>47</v>
      </c>
      <c r="H30" s="10">
        <v>2.5133689839572195</v>
      </c>
      <c r="I30" s="11">
        <v>263.48</v>
      </c>
      <c r="J30" s="11">
        <v>4.6100000000000003</v>
      </c>
      <c r="K30" s="12">
        <v>0.3</v>
      </c>
      <c r="L30" s="10">
        <v>2297.2575757599998</v>
      </c>
    </row>
    <row r="31" spans="1:12">
      <c r="A31" s="10" t="s">
        <v>4</v>
      </c>
      <c r="B31" s="10" t="s">
        <v>5</v>
      </c>
      <c r="C31" s="10" t="s">
        <v>6</v>
      </c>
      <c r="D31" s="10">
        <v>139</v>
      </c>
      <c r="E31" s="11">
        <v>1097.5999999999999</v>
      </c>
      <c r="F31" s="12">
        <v>12.691921124903638</v>
      </c>
      <c r="G31" s="13">
        <v>2542</v>
      </c>
      <c r="H31" s="10">
        <v>38.963825873697118</v>
      </c>
      <c r="I31" s="11">
        <v>16.38</v>
      </c>
      <c r="J31" s="11">
        <v>0.18</v>
      </c>
      <c r="K31" s="12">
        <v>20.3</v>
      </c>
      <c r="L31" s="10">
        <v>3991.1296296300002</v>
      </c>
    </row>
    <row r="32" spans="1:12">
      <c r="A32" s="10" t="s">
        <v>4</v>
      </c>
      <c r="B32" s="10" t="s">
        <v>5</v>
      </c>
      <c r="C32" s="10" t="s">
        <v>25</v>
      </c>
      <c r="D32" s="10">
        <v>140</v>
      </c>
      <c r="E32" s="11">
        <v>558.20000000000005</v>
      </c>
      <c r="F32" s="12">
        <v>8.334442957159176</v>
      </c>
      <c r="G32" s="13">
        <v>646</v>
      </c>
      <c r="H32" s="10">
        <v>13.588557004627683</v>
      </c>
      <c r="I32" s="11">
        <v>304.89999999999998</v>
      </c>
      <c r="J32" s="11">
        <v>5.34</v>
      </c>
      <c r="K32" s="12">
        <v>3.7</v>
      </c>
      <c r="L32" s="10">
        <v>3086.0447761199998</v>
      </c>
    </row>
    <row r="33" spans="1:12">
      <c r="A33" s="10" t="s">
        <v>4</v>
      </c>
      <c r="B33" s="10" t="s">
        <v>5</v>
      </c>
      <c r="C33" s="10" t="s">
        <v>28</v>
      </c>
      <c r="D33" s="10">
        <v>141</v>
      </c>
      <c r="E33" s="11">
        <v>687.7</v>
      </c>
      <c r="F33" s="12">
        <v>7.626880025246102</v>
      </c>
      <c r="G33" s="13">
        <v>1274</v>
      </c>
      <c r="H33" s="10">
        <v>22.409850483729112</v>
      </c>
      <c r="I33" s="11">
        <v>146.97</v>
      </c>
      <c r="J33" s="11">
        <v>2</v>
      </c>
      <c r="K33" s="12">
        <v>2.2000000000000002</v>
      </c>
      <c r="L33" s="10">
        <v>3135.9069767400001</v>
      </c>
    </row>
    <row r="34" spans="1:12">
      <c r="A34" s="10" t="s">
        <v>4</v>
      </c>
      <c r="B34" s="10" t="s">
        <v>5</v>
      </c>
      <c r="C34" s="10" t="s">
        <v>9</v>
      </c>
      <c r="D34" s="10">
        <v>142</v>
      </c>
      <c r="E34" s="11">
        <v>2341.6999999999998</v>
      </c>
      <c r="F34" s="12">
        <v>10.450298292230183</v>
      </c>
      <c r="G34" s="13">
        <v>3702</v>
      </c>
      <c r="H34" s="10">
        <v>33.630087209302324</v>
      </c>
      <c r="I34" s="11">
        <v>268.45</v>
      </c>
      <c r="J34" s="11">
        <v>1.27</v>
      </c>
      <c r="K34" s="12">
        <v>15</v>
      </c>
      <c r="L34" s="10">
        <v>4016.9598393599999</v>
      </c>
    </row>
    <row r="35" spans="1:12">
      <c r="A35" s="10" t="s">
        <v>4</v>
      </c>
      <c r="B35" s="10" t="s">
        <v>5</v>
      </c>
      <c r="C35" s="10" t="s">
        <v>29</v>
      </c>
      <c r="D35" s="10">
        <v>143</v>
      </c>
      <c r="E35" s="11">
        <v>1108.3</v>
      </c>
      <c r="F35" s="12">
        <v>8.7102018967994006</v>
      </c>
      <c r="G35" s="13">
        <v>1628</v>
      </c>
      <c r="H35" s="10">
        <v>33.394871794871797</v>
      </c>
      <c r="I35" s="11">
        <v>175.84</v>
      </c>
      <c r="J35" s="11">
        <v>1.6</v>
      </c>
      <c r="K35" s="12">
        <v>5.9</v>
      </c>
      <c r="L35" s="10">
        <v>3455.3769230799999</v>
      </c>
    </row>
    <row r="36" spans="1:12">
      <c r="A36" s="10" t="s">
        <v>4</v>
      </c>
      <c r="B36" s="10" t="s">
        <v>5</v>
      </c>
      <c r="C36" s="10" t="s">
        <v>17</v>
      </c>
      <c r="D36" s="10">
        <v>144</v>
      </c>
      <c r="E36" s="11">
        <v>1867.5</v>
      </c>
      <c r="F36" s="12">
        <v>19.548891086032544</v>
      </c>
      <c r="G36" s="13">
        <v>3906</v>
      </c>
      <c r="H36" s="10">
        <v>39.82463295269168</v>
      </c>
      <c r="I36" s="11">
        <v>31.49</v>
      </c>
      <c r="J36" s="11">
        <v>0.28000000000000003</v>
      </c>
      <c r="K36" s="12">
        <v>2.5</v>
      </c>
      <c r="L36" s="10">
        <v>3503.8604651199998</v>
      </c>
    </row>
    <row r="37" spans="1:12">
      <c r="A37" s="10" t="s">
        <v>4</v>
      </c>
      <c r="B37" s="10" t="s">
        <v>5</v>
      </c>
      <c r="C37" s="10" t="s">
        <v>39</v>
      </c>
      <c r="D37" s="10">
        <v>145</v>
      </c>
      <c r="E37" s="11">
        <v>694.3</v>
      </c>
      <c r="F37" s="12">
        <v>10.758434234357921</v>
      </c>
      <c r="G37" s="13">
        <v>1308</v>
      </c>
      <c r="H37" s="10">
        <v>20.562804590473196</v>
      </c>
      <c r="I37" s="11">
        <v>103.7</v>
      </c>
      <c r="J37" s="11">
        <v>1.1000000000000001</v>
      </c>
      <c r="K37" s="12">
        <v>12.8</v>
      </c>
      <c r="L37" s="10">
        <v>3925.1261261300001</v>
      </c>
    </row>
    <row r="38" spans="1:12">
      <c r="A38" s="10" t="s">
        <v>4</v>
      </c>
      <c r="B38" s="10" t="s">
        <v>5</v>
      </c>
      <c r="C38" s="10" t="s">
        <v>5</v>
      </c>
      <c r="D38" s="10">
        <v>146</v>
      </c>
      <c r="E38" s="11">
        <v>550.6</v>
      </c>
      <c r="F38" s="12">
        <v>6.1085430939453174</v>
      </c>
      <c r="G38" s="13">
        <v>442</v>
      </c>
      <c r="H38" s="10">
        <v>10.673750301859455</v>
      </c>
      <c r="I38" s="11">
        <v>378.6</v>
      </c>
      <c r="J38" s="11">
        <v>5.01</v>
      </c>
      <c r="K38" s="12">
        <v>3.5</v>
      </c>
      <c r="L38" s="10">
        <v>3018.6404494399999</v>
      </c>
    </row>
    <row r="39" spans="1:12">
      <c r="A39" s="10" t="s">
        <v>4</v>
      </c>
      <c r="B39" s="10" t="s">
        <v>5</v>
      </c>
      <c r="C39" s="10" t="s">
        <v>31</v>
      </c>
      <c r="D39" s="10">
        <v>147</v>
      </c>
      <c r="E39" s="11">
        <v>902.4</v>
      </c>
      <c r="F39" s="12">
        <v>15.571560195078654</v>
      </c>
      <c r="G39" s="13">
        <v>1670</v>
      </c>
      <c r="H39" s="10">
        <v>41.193882585101136</v>
      </c>
      <c r="I39" s="11">
        <v>106.98</v>
      </c>
      <c r="J39" s="11">
        <v>1.72</v>
      </c>
      <c r="K39" s="12">
        <v>12.9</v>
      </c>
      <c r="L39" s="10">
        <v>3695.1866666699998</v>
      </c>
    </row>
    <row r="40" spans="1:12">
      <c r="A40" s="10" t="s">
        <v>4</v>
      </c>
      <c r="B40" s="10" t="s">
        <v>5</v>
      </c>
      <c r="C40" s="10" t="s">
        <v>41</v>
      </c>
      <c r="D40" s="10">
        <v>148</v>
      </c>
      <c r="E40" s="11">
        <v>1709.1</v>
      </c>
      <c r="F40" s="12">
        <v>9.2658465561984968</v>
      </c>
      <c r="G40" s="13">
        <v>2792</v>
      </c>
      <c r="H40" s="10">
        <v>31.687663148337307</v>
      </c>
      <c r="I40" s="11">
        <v>114.63</v>
      </c>
      <c r="J40" s="11">
        <v>0.83</v>
      </c>
      <c r="K40" s="12">
        <v>15.5</v>
      </c>
      <c r="L40" s="10">
        <v>3601.4940476199999</v>
      </c>
    </row>
    <row r="41" spans="1:12">
      <c r="A41" s="10" t="s">
        <v>4</v>
      </c>
      <c r="B41" s="10" t="s">
        <v>5</v>
      </c>
      <c r="C41" s="10" t="s">
        <v>42</v>
      </c>
      <c r="D41" s="10">
        <v>149</v>
      </c>
      <c r="E41" s="11">
        <v>1256.8</v>
      </c>
      <c r="F41" s="12">
        <v>13.914055210467399</v>
      </c>
      <c r="G41" s="13">
        <v>1947</v>
      </c>
      <c r="H41" s="10">
        <v>35.169797687861269</v>
      </c>
      <c r="I41" s="11">
        <v>162.37</v>
      </c>
      <c r="J41" s="11">
        <v>2.04</v>
      </c>
      <c r="K41" s="12">
        <v>6.4</v>
      </c>
      <c r="L41" s="10">
        <v>3358.2395833300002</v>
      </c>
    </row>
    <row r="42" spans="1:12">
      <c r="A42" s="10" t="s">
        <v>4</v>
      </c>
      <c r="B42" s="10" t="s">
        <v>5</v>
      </c>
      <c r="C42" s="10" t="s">
        <v>34</v>
      </c>
      <c r="D42" s="10">
        <v>150</v>
      </c>
      <c r="E42" s="11">
        <v>1616.8</v>
      </c>
      <c r="F42" s="12">
        <v>5.8953895716232809</v>
      </c>
      <c r="G42" s="13">
        <v>2242</v>
      </c>
      <c r="H42" s="10">
        <v>19.613332166914528</v>
      </c>
      <c r="I42" s="11">
        <v>175.57</v>
      </c>
      <c r="J42" s="11">
        <v>0.62</v>
      </c>
      <c r="K42" s="12">
        <v>50</v>
      </c>
      <c r="L42" s="10">
        <v>4188.7831325300003</v>
      </c>
    </row>
    <row r="43" spans="1:12">
      <c r="A43" s="10" t="s">
        <v>4</v>
      </c>
      <c r="B43" s="10" t="s">
        <v>5</v>
      </c>
      <c r="C43" s="10" t="s">
        <v>18</v>
      </c>
      <c r="D43" s="10">
        <v>151</v>
      </c>
      <c r="E43" s="11">
        <v>66.8</v>
      </c>
      <c r="F43" s="12">
        <v>0.95371508367583357</v>
      </c>
      <c r="G43" s="13">
        <v>132</v>
      </c>
      <c r="H43" s="10">
        <v>5.1441932969602489</v>
      </c>
      <c r="I43" s="11">
        <v>481.34</v>
      </c>
      <c r="J43" s="11">
        <v>10.6</v>
      </c>
      <c r="K43" s="12">
        <v>2.2999999999999998</v>
      </c>
      <c r="L43" s="10">
        <v>2818.26415094</v>
      </c>
    </row>
    <row r="44" spans="1:12">
      <c r="A44" s="10" t="s">
        <v>4</v>
      </c>
      <c r="B44" s="10" t="s">
        <v>5</v>
      </c>
      <c r="C44" s="10" t="s">
        <v>30</v>
      </c>
      <c r="D44" s="10">
        <v>152</v>
      </c>
      <c r="E44" s="11">
        <v>1862.8</v>
      </c>
      <c r="F44" s="12">
        <v>8.4226591977092262</v>
      </c>
      <c r="G44" s="13">
        <v>3767</v>
      </c>
      <c r="H44" s="10">
        <v>30.725938009787928</v>
      </c>
      <c r="I44" s="11">
        <v>123.37</v>
      </c>
      <c r="J44" s="11">
        <v>0.57999999999999996</v>
      </c>
      <c r="K44" s="12">
        <v>40</v>
      </c>
      <c r="L44" s="10">
        <v>3832.63562753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7884-4C76-4782-B53F-26BFF8F3F009}">
  <sheetPr>
    <tabColor rgb="FFFF0000"/>
  </sheetPr>
  <dimension ref="A1:Q43"/>
  <sheetViews>
    <sheetView workbookViewId="0">
      <selection activeCell="F1" sqref="F1:F1048576"/>
    </sheetView>
  </sheetViews>
  <sheetFormatPr defaultRowHeight="14.25"/>
  <cols>
    <col min="1" max="1" width="13.125" bestFit="1" customWidth="1"/>
    <col min="2" max="2" width="12.125" bestFit="1" customWidth="1"/>
    <col min="3" max="3" width="30.25" bestFit="1" customWidth="1"/>
    <col min="4" max="4" width="9.25" bestFit="1" customWidth="1"/>
    <col min="5" max="5" width="8.125" style="55" bestFit="1" customWidth="1"/>
    <col min="6" max="6" width="8.75" style="55" bestFit="1" customWidth="1"/>
    <col min="7" max="7" width="8.125" style="55" bestFit="1" customWidth="1"/>
    <col min="8" max="8" width="9" style="55"/>
    <col min="9" max="9" width="9.5" customWidth="1"/>
    <col min="10" max="10" width="14.75" style="56" bestFit="1" customWidth="1"/>
    <col min="11" max="11" width="13.375" style="56" bestFit="1" customWidth="1"/>
    <col min="12" max="12" width="12" style="56" bestFit="1" customWidth="1"/>
    <col min="13" max="13" width="15.75" style="56" bestFit="1" customWidth="1"/>
    <col min="14" max="14" width="13.25" style="57" bestFit="1" customWidth="1"/>
    <col min="15" max="15" width="11.875" style="57" bestFit="1" customWidth="1"/>
    <col min="16" max="16" width="16.75" style="57" bestFit="1" customWidth="1"/>
    <col min="17" max="17" width="14.75" style="57" bestFit="1" customWidth="1"/>
  </cols>
  <sheetData>
    <row r="1" spans="1:17" ht="15">
      <c r="E1" s="46" t="s">
        <v>128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E2" s="47"/>
      <c r="F2" s="47"/>
      <c r="G2" s="47"/>
      <c r="H2" s="47"/>
      <c r="I2" s="17"/>
      <c r="J2" s="17"/>
      <c r="K2" s="17"/>
      <c r="L2" s="17"/>
      <c r="M2" s="17"/>
      <c r="N2" s="17"/>
      <c r="O2" s="17"/>
      <c r="P2" s="17"/>
      <c r="Q2" s="17"/>
    </row>
    <row r="3" spans="1:17" ht="135">
      <c r="A3" s="18" t="s">
        <v>0</v>
      </c>
      <c r="B3" s="18" t="s">
        <v>1</v>
      </c>
      <c r="C3" s="18" t="s">
        <v>2</v>
      </c>
      <c r="D3" s="18" t="s">
        <v>3</v>
      </c>
      <c r="E3" s="48" t="s">
        <v>124</v>
      </c>
      <c r="F3" s="49" t="s">
        <v>125</v>
      </c>
      <c r="G3" s="49" t="s">
        <v>85</v>
      </c>
      <c r="H3" s="48" t="s">
        <v>87</v>
      </c>
      <c r="I3" s="50"/>
      <c r="J3" s="51" t="s">
        <v>120</v>
      </c>
      <c r="K3" s="51" t="s">
        <v>121</v>
      </c>
      <c r="L3" s="51" t="s">
        <v>122</v>
      </c>
      <c r="M3" s="51" t="s">
        <v>123</v>
      </c>
      <c r="N3" s="52" t="s">
        <v>89</v>
      </c>
      <c r="O3" s="52" t="s">
        <v>126</v>
      </c>
      <c r="P3" s="52" t="s">
        <v>127</v>
      </c>
      <c r="Q3" s="52" t="s">
        <v>96</v>
      </c>
    </row>
    <row r="4" spans="1:17">
      <c r="A4" s="4" t="s">
        <v>4</v>
      </c>
      <c r="B4" s="4" t="s">
        <v>7</v>
      </c>
      <c r="C4" s="4" t="s">
        <v>7</v>
      </c>
      <c r="D4" s="4">
        <v>69</v>
      </c>
      <c r="E4" s="53">
        <v>0.47115384615384615</v>
      </c>
      <c r="F4" s="53">
        <v>0.5199898442789439</v>
      </c>
      <c r="G4" s="53">
        <v>0.11538461538461539</v>
      </c>
      <c r="H4" s="53">
        <v>0.26666666666666666</v>
      </c>
      <c r="I4" s="4"/>
      <c r="J4" s="45">
        <v>0</v>
      </c>
      <c r="K4" s="45">
        <v>0</v>
      </c>
      <c r="L4" s="45">
        <v>8.4502281561602162E-4</v>
      </c>
      <c r="M4" s="45">
        <v>0.10024277728576152</v>
      </c>
      <c r="N4" s="54">
        <v>0.95587606579064122</v>
      </c>
      <c r="O4" s="54">
        <v>0.89655900358876928</v>
      </c>
      <c r="P4" s="54">
        <v>0.99399999999999999</v>
      </c>
      <c r="Q4" s="54">
        <v>0.18044022017681574</v>
      </c>
    </row>
    <row r="5" spans="1:17">
      <c r="A5" s="4" t="s">
        <v>4</v>
      </c>
      <c r="B5" s="4" t="s">
        <v>7</v>
      </c>
      <c r="C5" s="4" t="s">
        <v>14</v>
      </c>
      <c r="D5" s="4">
        <v>70</v>
      </c>
      <c r="E5" s="53">
        <v>3.8461538461538464E-2</v>
      </c>
      <c r="F5" s="53">
        <v>0.46029313269414174</v>
      </c>
      <c r="G5" s="53">
        <v>0.15384615384615385</v>
      </c>
      <c r="H5" s="53">
        <v>6.6666666666666666E-2</v>
      </c>
      <c r="I5" s="4"/>
      <c r="J5" s="45">
        <v>0</v>
      </c>
      <c r="K5" s="45">
        <v>0</v>
      </c>
      <c r="L5" s="45">
        <v>1.6900456312320432E-3</v>
      </c>
      <c r="M5" s="45">
        <v>0.16788386110469161</v>
      </c>
      <c r="N5" s="54">
        <v>1</v>
      </c>
      <c r="O5" s="54">
        <v>0.96601224403630992</v>
      </c>
      <c r="P5" s="54">
        <v>1</v>
      </c>
      <c r="Q5" s="54">
        <v>0.25645015541836447</v>
      </c>
    </row>
    <row r="6" spans="1:17">
      <c r="A6" s="4" t="s">
        <v>4</v>
      </c>
      <c r="B6" s="4" t="s">
        <v>7</v>
      </c>
      <c r="C6" s="4" t="s">
        <v>38</v>
      </c>
      <c r="D6" s="4">
        <v>71</v>
      </c>
      <c r="E6" s="53">
        <v>0.51923076923076916</v>
      </c>
      <c r="F6" s="53">
        <v>0.23257602230618607</v>
      </c>
      <c r="G6" s="53">
        <v>0.15384615384615385</v>
      </c>
      <c r="H6" s="53">
        <v>0.33333333333333331</v>
      </c>
      <c r="I6" s="4"/>
      <c r="J6" s="45">
        <v>0.22278686424392538</v>
      </c>
      <c r="K6" s="45">
        <v>0.20627251595951687</v>
      </c>
      <c r="L6" s="45">
        <v>0.11644414399188778</v>
      </c>
      <c r="M6" s="45">
        <v>0.23038233091998553</v>
      </c>
      <c r="N6" s="54">
        <v>0.92809089369116471</v>
      </c>
      <c r="O6" s="54">
        <v>0.97572303145450712</v>
      </c>
      <c r="P6" s="54">
        <v>0.79200000000000004</v>
      </c>
      <c r="Q6" s="54">
        <v>0.76517353480119221</v>
      </c>
    </row>
    <row r="7" spans="1:17">
      <c r="A7" s="4" t="s">
        <v>4</v>
      </c>
      <c r="B7" s="4" t="s">
        <v>7</v>
      </c>
      <c r="C7" s="4" t="s">
        <v>8</v>
      </c>
      <c r="D7" s="4">
        <v>72</v>
      </c>
      <c r="E7" s="53">
        <v>0.24038461538461539</v>
      </c>
      <c r="F7" s="53">
        <v>0.53777172923901251</v>
      </c>
      <c r="G7" s="53">
        <v>0.17307692307692307</v>
      </c>
      <c r="H7" s="53">
        <v>0.33333333333333331</v>
      </c>
      <c r="I7" s="4"/>
      <c r="J7" s="45">
        <v>0.72699321006106687</v>
      </c>
      <c r="K7" s="45">
        <v>0.81244823037363567</v>
      </c>
      <c r="L7" s="45">
        <v>0.54791279364542844</v>
      </c>
      <c r="M7" s="45">
        <v>0.84416160153057274</v>
      </c>
      <c r="N7" s="54">
        <v>0.96962547088384998</v>
      </c>
      <c r="O7" s="54">
        <v>0.9879670677644079</v>
      </c>
      <c r="P7" s="54">
        <v>0.94399999999999995</v>
      </c>
      <c r="Q7" s="54">
        <v>0.56642417153160107</v>
      </c>
    </row>
    <row r="8" spans="1:17">
      <c r="A8" s="4" t="s">
        <v>4</v>
      </c>
      <c r="B8" s="4" t="s">
        <v>7</v>
      </c>
      <c r="C8" s="4" t="s">
        <v>37</v>
      </c>
      <c r="D8" s="4">
        <v>73</v>
      </c>
      <c r="E8" s="53">
        <v>0.47115384615384615</v>
      </c>
      <c r="F8" s="53">
        <v>0.44852914946746164</v>
      </c>
      <c r="G8" s="53">
        <v>0.17307692307692307</v>
      </c>
      <c r="H8" s="53">
        <v>0.4</v>
      </c>
      <c r="I8" s="4"/>
      <c r="J8" s="45">
        <v>0.27270786180979634</v>
      </c>
      <c r="K8" s="45">
        <v>0.44767666370377601</v>
      </c>
      <c r="L8" s="45">
        <v>0.13824573263478113</v>
      </c>
      <c r="M8" s="45">
        <v>0.44775609963155977</v>
      </c>
      <c r="N8" s="54">
        <v>0.87225032064467733</v>
      </c>
      <c r="O8" s="54">
        <v>0.92294701287734848</v>
      </c>
      <c r="P8" s="54">
        <v>0.95399999999999996</v>
      </c>
      <c r="Q8" s="54">
        <v>0.43115449919437893</v>
      </c>
    </row>
    <row r="9" spans="1:17">
      <c r="A9" s="4" t="s">
        <v>4</v>
      </c>
      <c r="B9" s="4" t="s">
        <v>7</v>
      </c>
      <c r="C9" s="4" t="s">
        <v>13</v>
      </c>
      <c r="D9" s="4">
        <v>74</v>
      </c>
      <c r="E9" s="53">
        <v>0.20192307692307696</v>
      </c>
      <c r="F9" s="53">
        <v>0.47928824411586979</v>
      </c>
      <c r="G9" s="53">
        <v>0.15384615384615385</v>
      </c>
      <c r="H9" s="53">
        <v>6.6666666666666666E-2</v>
      </c>
      <c r="I9" s="4"/>
      <c r="J9" s="45">
        <v>0.21668018960584193</v>
      </c>
      <c r="K9" s="45">
        <v>0.42357235860249937</v>
      </c>
      <c r="L9" s="45">
        <v>0.12692242690552644</v>
      </c>
      <c r="M9" s="45">
        <v>0.60549942511820454</v>
      </c>
      <c r="N9" s="54">
        <v>0.85470964515322378</v>
      </c>
      <c r="O9" s="54">
        <v>0.87481528393497987</v>
      </c>
      <c r="P9" s="54">
        <v>0.99</v>
      </c>
      <c r="Q9" s="54">
        <v>0.38496651036118001</v>
      </c>
    </row>
    <row r="10" spans="1:17">
      <c r="A10" s="4" t="s">
        <v>4</v>
      </c>
      <c r="B10" s="4" t="s">
        <v>7</v>
      </c>
      <c r="C10" s="4" t="s">
        <v>10</v>
      </c>
      <c r="D10" s="4">
        <v>75</v>
      </c>
      <c r="E10" s="53">
        <v>0.63461538461538469</v>
      </c>
      <c r="F10" s="53">
        <v>0.52685332809167085</v>
      </c>
      <c r="G10" s="53">
        <v>0.13461538461538461</v>
      </c>
      <c r="H10" s="53">
        <v>0</v>
      </c>
      <c r="I10" s="4"/>
      <c r="J10" s="45">
        <v>2.1608233334756803E-2</v>
      </c>
      <c r="K10" s="45">
        <v>9.2920457084361516E-2</v>
      </c>
      <c r="L10" s="45">
        <v>5.9151597093121512E-3</v>
      </c>
      <c r="M10" s="45">
        <v>0.12366520530597369</v>
      </c>
      <c r="N10" s="54">
        <v>0.95389976526389664</v>
      </c>
      <c r="O10" s="54">
        <v>0.89845894025754691</v>
      </c>
      <c r="P10" s="54">
        <v>0.94599999999999995</v>
      </c>
      <c r="Q10" s="54">
        <v>0.27536491314915146</v>
      </c>
    </row>
    <row r="11" spans="1:17">
      <c r="A11" s="4" t="s">
        <v>4</v>
      </c>
      <c r="B11" s="4" t="s">
        <v>7</v>
      </c>
      <c r="C11" s="4" t="s">
        <v>19</v>
      </c>
      <c r="D11" s="4">
        <v>76</v>
      </c>
      <c r="E11" s="53">
        <v>0.24038461538461539</v>
      </c>
      <c r="F11" s="53">
        <v>0.53450469929601563</v>
      </c>
      <c r="G11" s="53">
        <v>7.6923076923076927E-2</v>
      </c>
      <c r="H11" s="53">
        <v>0</v>
      </c>
      <c r="I11" s="4"/>
      <c r="J11" s="45">
        <v>0.11107315198360168</v>
      </c>
      <c r="K11" s="45">
        <v>0.4210294845504457</v>
      </c>
      <c r="L11" s="45">
        <v>8.0953185736014871E-2</v>
      </c>
      <c r="M11" s="45">
        <v>0.6277112117194863</v>
      </c>
      <c r="N11" s="54">
        <v>0.98540764223313893</v>
      </c>
      <c r="O11" s="54">
        <v>0.97508971923158116</v>
      </c>
      <c r="P11" s="54">
        <v>0.996</v>
      </c>
      <c r="Q11" s="54">
        <v>0.40189129495677467</v>
      </c>
    </row>
    <row r="12" spans="1:17">
      <c r="A12" s="4" t="s">
        <v>4</v>
      </c>
      <c r="B12" s="4" t="s">
        <v>7</v>
      </c>
      <c r="C12" s="4" t="s">
        <v>32</v>
      </c>
      <c r="D12" s="4">
        <v>77</v>
      </c>
      <c r="E12" s="53">
        <v>0.22115384615384617</v>
      </c>
      <c r="F12" s="53">
        <v>0.44955063664358869</v>
      </c>
      <c r="G12" s="53">
        <v>1</v>
      </c>
      <c r="H12" s="53">
        <v>0.2</v>
      </c>
      <c r="I12" s="4"/>
      <c r="J12" s="45">
        <v>0</v>
      </c>
      <c r="K12" s="45">
        <v>2.6498104960635008E-4</v>
      </c>
      <c r="L12" s="45">
        <v>1.1830319418624302E-3</v>
      </c>
      <c r="M12" s="45">
        <v>5.2400499975204948E-2</v>
      </c>
      <c r="N12" s="54">
        <v>0.89817212367608035</v>
      </c>
      <c r="O12" s="54">
        <v>0.71120962634578844</v>
      </c>
      <c r="P12" s="54">
        <v>1</v>
      </c>
      <c r="Q12" s="54">
        <v>0.3037543510932601</v>
      </c>
    </row>
    <row r="13" spans="1:17">
      <c r="A13" s="4" t="s">
        <v>4</v>
      </c>
      <c r="B13" s="4" t="s">
        <v>7</v>
      </c>
      <c r="C13" s="4" t="s">
        <v>21</v>
      </c>
      <c r="D13" s="4">
        <v>78</v>
      </c>
      <c r="E13" s="53">
        <v>0.125</v>
      </c>
      <c r="F13" s="53">
        <v>0.35171264041467382</v>
      </c>
      <c r="G13" s="53">
        <v>0.53846153846153844</v>
      </c>
      <c r="H13" s="53">
        <v>0.4</v>
      </c>
      <c r="I13" s="4"/>
      <c r="J13" s="45">
        <v>0.4717939958150062</v>
      </c>
      <c r="K13" s="45">
        <v>0.61973859257548447</v>
      </c>
      <c r="L13" s="45">
        <v>0.35997971945242524</v>
      </c>
      <c r="M13" s="45">
        <v>0.83145042339002517</v>
      </c>
      <c r="N13" s="54">
        <v>0.95607772910969679</v>
      </c>
      <c r="O13" s="54">
        <v>0.97910069664344523</v>
      </c>
      <c r="P13" s="54">
        <v>0.68599999999999994</v>
      </c>
      <c r="Q13" s="54">
        <v>0.81594113097992893</v>
      </c>
    </row>
    <row r="14" spans="1:17">
      <c r="A14" s="4" t="s">
        <v>4</v>
      </c>
      <c r="B14" s="4" t="s">
        <v>7</v>
      </c>
      <c r="C14" s="4" t="s">
        <v>33</v>
      </c>
      <c r="D14" s="4">
        <v>79</v>
      </c>
      <c r="E14" s="53">
        <v>0.19230769230769232</v>
      </c>
      <c r="F14" s="53">
        <v>0.44822229380974238</v>
      </c>
      <c r="G14" s="53">
        <v>0.5</v>
      </c>
      <c r="H14" s="53">
        <v>0</v>
      </c>
      <c r="I14" s="4"/>
      <c r="J14" s="45">
        <v>0</v>
      </c>
      <c r="K14" s="45">
        <v>0</v>
      </c>
      <c r="L14" s="45">
        <v>1.521041068108839E-3</v>
      </c>
      <c r="M14" s="45">
        <v>0.12083195046609034</v>
      </c>
      <c r="N14" s="54">
        <v>0.99936274391178437</v>
      </c>
      <c r="O14" s="54">
        <v>0.97635634367743296</v>
      </c>
      <c r="P14" s="54">
        <v>0.97399999999999998</v>
      </c>
      <c r="Q14" s="54">
        <v>0.26886375815904834</v>
      </c>
    </row>
    <row r="15" spans="1:17">
      <c r="A15" s="4" t="s">
        <v>4</v>
      </c>
      <c r="B15" s="4" t="s">
        <v>7</v>
      </c>
      <c r="C15" s="4" t="s">
        <v>44</v>
      </c>
      <c r="D15" s="4">
        <v>80</v>
      </c>
      <c r="E15" s="53">
        <v>0.45192307692307693</v>
      </c>
      <c r="F15" s="53">
        <v>0.37607526881720443</v>
      </c>
      <c r="G15" s="53">
        <v>0</v>
      </c>
      <c r="H15" s="53">
        <v>0</v>
      </c>
      <c r="I15" s="4"/>
      <c r="J15" s="45">
        <v>8.9678438741085543E-4</v>
      </c>
      <c r="K15" s="45">
        <v>6.2701923431320514E-3</v>
      </c>
      <c r="L15" s="45">
        <v>0</v>
      </c>
      <c r="M15" s="45">
        <v>4.3261245419552216E-2</v>
      </c>
      <c r="N15" s="54">
        <v>0.95481934999879003</v>
      </c>
      <c r="O15" s="54">
        <v>0.83913869537682073</v>
      </c>
      <c r="P15" s="54">
        <v>0.98399999999999999</v>
      </c>
      <c r="Q15" s="54">
        <v>0.27866557349827692</v>
      </c>
    </row>
    <row r="16" spans="1:17">
      <c r="A16" s="4" t="s">
        <v>4</v>
      </c>
      <c r="B16" s="4" t="s">
        <v>7</v>
      </c>
      <c r="C16" s="4" t="s">
        <v>40</v>
      </c>
      <c r="D16" s="4">
        <v>81</v>
      </c>
      <c r="E16" s="53">
        <v>0.46153846153846156</v>
      </c>
      <c r="F16" s="53">
        <v>0.39826706634343095</v>
      </c>
      <c r="G16" s="53">
        <v>0.40384615384615385</v>
      </c>
      <c r="H16" s="53">
        <v>0</v>
      </c>
      <c r="I16" s="4"/>
      <c r="J16" s="45">
        <v>0</v>
      </c>
      <c r="K16" s="45">
        <v>0</v>
      </c>
      <c r="L16" s="45">
        <v>2.704073009971269E-3</v>
      </c>
      <c r="M16" s="45">
        <v>0.11613132311810205</v>
      </c>
      <c r="N16" s="54">
        <v>0.99557550677992079</v>
      </c>
      <c r="O16" s="54">
        <v>0.97910069664344523</v>
      </c>
      <c r="P16" s="54">
        <v>1</v>
      </c>
      <c r="Q16" s="54">
        <v>0.22408882454539575</v>
      </c>
    </row>
    <row r="17" spans="1:17">
      <c r="A17" s="4" t="s">
        <v>4</v>
      </c>
      <c r="B17" s="4" t="s">
        <v>11</v>
      </c>
      <c r="C17" s="4" t="s">
        <v>16</v>
      </c>
      <c r="D17" s="4">
        <v>100</v>
      </c>
      <c r="E17" s="53">
        <v>0.51923076923076927</v>
      </c>
      <c r="F17" s="53">
        <v>0.47916084259724395</v>
      </c>
      <c r="G17" s="53">
        <v>0.59615384615384615</v>
      </c>
      <c r="H17" s="53">
        <v>0.26666666666666666</v>
      </c>
      <c r="I17" s="4"/>
      <c r="J17" s="45">
        <v>0.74646624247341675</v>
      </c>
      <c r="K17" s="45">
        <v>0.52143775097529721</v>
      </c>
      <c r="L17" s="45">
        <v>0.60250126753422339</v>
      </c>
      <c r="M17" s="45">
        <v>0.71938085034466603</v>
      </c>
      <c r="N17" s="54">
        <v>0.96450725584621966</v>
      </c>
      <c r="O17" s="54">
        <v>0.98965590035887696</v>
      </c>
      <c r="P17" s="54">
        <v>0.95</v>
      </c>
      <c r="Q17" s="54">
        <v>0.40451231374558011</v>
      </c>
    </row>
    <row r="18" spans="1:17">
      <c r="A18" s="4" t="s">
        <v>4</v>
      </c>
      <c r="B18" s="4" t="s">
        <v>11</v>
      </c>
      <c r="C18" s="4" t="s">
        <v>26</v>
      </c>
      <c r="D18" s="4">
        <v>101</v>
      </c>
      <c r="E18" s="53">
        <v>0.57692307692307698</v>
      </c>
      <c r="F18" s="53">
        <v>0.47280569084383489</v>
      </c>
      <c r="G18" s="53">
        <v>0.36538461538461536</v>
      </c>
      <c r="H18" s="53">
        <v>0.4</v>
      </c>
      <c r="I18" s="4"/>
      <c r="J18" s="45">
        <v>0.22248793611478843</v>
      </c>
      <c r="K18" s="45">
        <v>0.34068152725443968</v>
      </c>
      <c r="L18" s="45">
        <v>0.11999323981747508</v>
      </c>
      <c r="M18" s="45">
        <v>0.4517546286163468</v>
      </c>
      <c r="N18" s="54">
        <v>0.97105324718276342</v>
      </c>
      <c r="O18" s="54">
        <v>0.97361199071142068</v>
      </c>
      <c r="P18" s="54">
        <v>0.97399999999999998</v>
      </c>
      <c r="Q18" s="54">
        <v>0.36504826190347472</v>
      </c>
    </row>
    <row r="19" spans="1:17">
      <c r="A19" s="4" t="s">
        <v>4</v>
      </c>
      <c r="B19" s="4" t="s">
        <v>11</v>
      </c>
      <c r="C19" s="4" t="s">
        <v>27</v>
      </c>
      <c r="D19" s="4">
        <v>102</v>
      </c>
      <c r="E19" s="53">
        <v>0.22115384615384617</v>
      </c>
      <c r="F19" s="53">
        <v>0.7325446269319531</v>
      </c>
      <c r="G19" s="53">
        <v>0.19230769230769232</v>
      </c>
      <c r="H19" s="53">
        <v>0.4</v>
      </c>
      <c r="I19" s="4"/>
      <c r="J19" s="45">
        <v>0.95059145065550676</v>
      </c>
      <c r="K19" s="45">
        <v>0.53269022025233492</v>
      </c>
      <c r="L19" s="45">
        <v>0.6055433496704411</v>
      </c>
      <c r="M19" s="45">
        <v>0.51899980911956611</v>
      </c>
      <c r="N19" s="54">
        <v>0.93429405738531401</v>
      </c>
      <c r="O19" s="54">
        <v>0.98522271479839563</v>
      </c>
      <c r="P19" s="54">
        <v>0.94599999999999995</v>
      </c>
      <c r="Q19" s="54">
        <v>0.12621279876712435</v>
      </c>
    </row>
    <row r="20" spans="1:17">
      <c r="A20" s="4" t="s">
        <v>4</v>
      </c>
      <c r="B20" s="4" t="s">
        <v>11</v>
      </c>
      <c r="C20" s="4" t="s">
        <v>35</v>
      </c>
      <c r="D20" s="4">
        <v>103</v>
      </c>
      <c r="E20" s="53">
        <v>0.41346153846153844</v>
      </c>
      <c r="F20" s="53">
        <v>0.40377536200231523</v>
      </c>
      <c r="G20" s="53">
        <v>0.73076923076923073</v>
      </c>
      <c r="H20" s="53">
        <v>1</v>
      </c>
      <c r="I20" s="4"/>
      <c r="J20" s="45">
        <v>0.96810009821924248</v>
      </c>
      <c r="K20" s="45">
        <v>0.58100732644833097</v>
      </c>
      <c r="L20" s="45">
        <v>0.74987324657765764</v>
      </c>
      <c r="M20" s="45">
        <v>0.63266780268314859</v>
      </c>
      <c r="N20" s="54">
        <v>0.93760133581782545</v>
      </c>
      <c r="O20" s="54">
        <v>0.98374498627823515</v>
      </c>
      <c r="P20" s="54">
        <v>0.94599999999999995</v>
      </c>
      <c r="Q20" s="54">
        <v>0.55790790707116034</v>
      </c>
    </row>
    <row r="21" spans="1:17">
      <c r="A21" s="4" t="s">
        <v>4</v>
      </c>
      <c r="B21" s="4" t="s">
        <v>11</v>
      </c>
      <c r="C21" s="4" t="s">
        <v>11</v>
      </c>
      <c r="D21" s="4">
        <v>104</v>
      </c>
      <c r="E21" s="53">
        <v>0.61538461538461531</v>
      </c>
      <c r="F21" s="53">
        <v>0.831911532385466</v>
      </c>
      <c r="G21" s="53">
        <v>0.63461538461538458</v>
      </c>
      <c r="H21" s="53">
        <v>0.33333333333333331</v>
      </c>
      <c r="I21" s="4"/>
      <c r="J21" s="45">
        <v>0.77080753298885429</v>
      </c>
      <c r="K21" s="45">
        <v>0.90430412217462497</v>
      </c>
      <c r="L21" s="45">
        <v>0.38735845867838431</v>
      </c>
      <c r="M21" s="45">
        <v>0.75024760259546663</v>
      </c>
      <c r="N21" s="54">
        <v>0.96651582250401313</v>
      </c>
      <c r="O21" s="54">
        <v>0.98121173738653156</v>
      </c>
      <c r="P21" s="54">
        <v>0.98599999999999999</v>
      </c>
      <c r="Q21" s="54">
        <v>0.28388489952386997</v>
      </c>
    </row>
    <row r="22" spans="1:17">
      <c r="A22" s="4" t="s">
        <v>4</v>
      </c>
      <c r="B22" s="4" t="s">
        <v>11</v>
      </c>
      <c r="C22" s="4" t="s">
        <v>24</v>
      </c>
      <c r="D22" s="4">
        <v>105</v>
      </c>
      <c r="E22" s="53">
        <v>0.48076923076923078</v>
      </c>
      <c r="F22" s="53">
        <v>0.87916102459941325</v>
      </c>
      <c r="G22" s="53">
        <v>0.34615384615384615</v>
      </c>
      <c r="H22" s="53">
        <v>0.33333333333333331</v>
      </c>
      <c r="I22" s="4"/>
      <c r="J22" s="45">
        <v>0.25067258829055816</v>
      </c>
      <c r="K22" s="45">
        <v>0.28864355082902654</v>
      </c>
      <c r="L22" s="45">
        <v>0.10765590670948115</v>
      </c>
      <c r="M22" s="45">
        <v>0.28504406347682737</v>
      </c>
      <c r="N22" s="54">
        <v>0.97436859214803706</v>
      </c>
      <c r="O22" s="54">
        <v>0.97720075997466749</v>
      </c>
      <c r="P22" s="54">
        <v>0.96599999999999997</v>
      </c>
      <c r="Q22" s="54">
        <v>0.15686561161543786</v>
      </c>
    </row>
    <row r="23" spans="1:17">
      <c r="A23" s="4" t="s">
        <v>4</v>
      </c>
      <c r="B23" s="4" t="s">
        <v>11</v>
      </c>
      <c r="C23" s="4" t="s">
        <v>20</v>
      </c>
      <c r="D23" s="4">
        <v>106</v>
      </c>
      <c r="E23" s="53">
        <v>0.61538461538461542</v>
      </c>
      <c r="F23" s="53">
        <v>0.84410576874076337</v>
      </c>
      <c r="G23" s="53">
        <v>0.25</v>
      </c>
      <c r="H23" s="53">
        <v>6.6666666666666666E-2</v>
      </c>
      <c r="I23" s="4"/>
      <c r="J23" s="45">
        <v>9.9073322799675456E-2</v>
      </c>
      <c r="K23" s="45">
        <v>4.9131136108652586E-2</v>
      </c>
      <c r="L23" s="45">
        <v>3.0420821362176779E-2</v>
      </c>
      <c r="M23" s="45">
        <v>4.8615010605070473E-2</v>
      </c>
      <c r="N23" s="54">
        <v>0.5861384701013963</v>
      </c>
      <c r="O23" s="54">
        <v>0.81443951868271058</v>
      </c>
      <c r="P23" s="54">
        <v>0.97599999999999998</v>
      </c>
      <c r="Q23" s="54">
        <v>4.5371722385656552E-2</v>
      </c>
    </row>
    <row r="24" spans="1:17">
      <c r="A24" s="4" t="s">
        <v>4</v>
      </c>
      <c r="B24" s="4" t="s">
        <v>11</v>
      </c>
      <c r="C24" s="4" t="s">
        <v>23</v>
      </c>
      <c r="D24" s="4">
        <v>107</v>
      </c>
      <c r="E24" s="53">
        <v>0.78846153846153844</v>
      </c>
      <c r="F24" s="53">
        <v>0.60087060737763998</v>
      </c>
      <c r="G24" s="53">
        <v>7.6923076923076927E-2</v>
      </c>
      <c r="H24" s="53">
        <v>0.13333333333333333</v>
      </c>
      <c r="I24" s="4"/>
      <c r="J24" s="45">
        <v>0</v>
      </c>
      <c r="K24" s="45">
        <v>0</v>
      </c>
      <c r="L24" s="45">
        <v>1.1830319418624302E-3</v>
      </c>
      <c r="M24" s="45">
        <v>1.7044942102189983E-2</v>
      </c>
      <c r="N24" s="54">
        <v>0.96530987585606076</v>
      </c>
      <c r="O24" s="54">
        <v>0.90648089508127505</v>
      </c>
      <c r="P24" s="54">
        <v>0.99199999999999999</v>
      </c>
      <c r="Q24" s="54">
        <v>0.22399817612164297</v>
      </c>
    </row>
    <row r="25" spans="1:17">
      <c r="A25" s="4" t="s">
        <v>4</v>
      </c>
      <c r="B25" s="4" t="s">
        <v>11</v>
      </c>
      <c r="C25" s="4" t="s">
        <v>36</v>
      </c>
      <c r="D25" s="4">
        <v>108</v>
      </c>
      <c r="E25" s="53">
        <v>0.57692307692307698</v>
      </c>
      <c r="F25" s="53">
        <v>0.69774335510079288</v>
      </c>
      <c r="G25" s="53">
        <v>0.44230769230769229</v>
      </c>
      <c r="H25" s="53">
        <v>0.33333333333333331</v>
      </c>
      <c r="I25" s="4"/>
      <c r="J25" s="45">
        <v>0.53209206986377422</v>
      </c>
      <c r="K25" s="45">
        <v>0.61626445830293963</v>
      </c>
      <c r="L25" s="45">
        <v>0.39749873246577655</v>
      </c>
      <c r="M25" s="45">
        <v>0.74275649027379154</v>
      </c>
      <c r="N25" s="54">
        <v>0.99571667110325968</v>
      </c>
      <c r="O25" s="54">
        <v>0.99810006333122225</v>
      </c>
      <c r="P25" s="54">
        <v>0.96799999999999997</v>
      </c>
      <c r="Q25" s="54">
        <v>0.3680406284513163</v>
      </c>
    </row>
    <row r="26" spans="1:17">
      <c r="A26" s="4" t="s">
        <v>4</v>
      </c>
      <c r="B26" s="4" t="s">
        <v>11</v>
      </c>
      <c r="C26" s="4" t="s">
        <v>12</v>
      </c>
      <c r="D26" s="4">
        <v>109</v>
      </c>
      <c r="E26" s="53">
        <v>0.31730769230769235</v>
      </c>
      <c r="F26" s="53">
        <v>0.71806089428585995</v>
      </c>
      <c r="G26" s="53">
        <v>0.40384615384615385</v>
      </c>
      <c r="H26" s="53">
        <v>0.2</v>
      </c>
      <c r="I26" s="4"/>
      <c r="J26" s="45">
        <v>0.7789212964940001</v>
      </c>
      <c r="K26" s="45">
        <v>0.6599323386986895</v>
      </c>
      <c r="L26" s="45">
        <v>0.46442453946256551</v>
      </c>
      <c r="M26" s="45">
        <v>0.516669037682842</v>
      </c>
      <c r="N26" s="54">
        <v>0.98106784760706311</v>
      </c>
      <c r="O26" s="54">
        <v>0.99387798184504961</v>
      </c>
      <c r="P26" s="54">
        <v>0.98599999999999999</v>
      </c>
      <c r="Q26" s="54">
        <v>0.17586438484251224</v>
      </c>
    </row>
    <row r="27" spans="1:17">
      <c r="A27" s="4" t="s">
        <v>4</v>
      </c>
      <c r="B27" s="4" t="s">
        <v>11</v>
      </c>
      <c r="C27" s="4" t="s">
        <v>15</v>
      </c>
      <c r="D27" s="4">
        <v>110</v>
      </c>
      <c r="E27" s="53">
        <v>0.16346153846153846</v>
      </c>
      <c r="F27" s="53">
        <v>0.36423775671406022</v>
      </c>
      <c r="G27" s="53">
        <v>0.67307692307692313</v>
      </c>
      <c r="H27" s="53">
        <v>0.33333333333333331</v>
      </c>
      <c r="I27" s="4"/>
      <c r="J27" s="45">
        <v>0.94418584788828641</v>
      </c>
      <c r="K27" s="45">
        <v>0.65329121436279758</v>
      </c>
      <c r="L27" s="45">
        <v>1</v>
      </c>
      <c r="M27" s="45">
        <v>0.87557366926546132</v>
      </c>
      <c r="N27" s="54">
        <v>0.96347473965265507</v>
      </c>
      <c r="O27" s="54">
        <v>0.99197804517627186</v>
      </c>
      <c r="P27" s="54">
        <v>0.85599999999999998</v>
      </c>
      <c r="Q27" s="54">
        <v>0.27215349101363967</v>
      </c>
    </row>
    <row r="28" spans="1:17">
      <c r="A28" s="4" t="s">
        <v>4</v>
      </c>
      <c r="B28" s="4" t="s">
        <v>11</v>
      </c>
      <c r="C28" s="4" t="s">
        <v>43</v>
      </c>
      <c r="D28" s="4">
        <v>111</v>
      </c>
      <c r="E28" s="53">
        <v>0.29807692307692307</v>
      </c>
      <c r="F28" s="53">
        <v>0.97580645161290336</v>
      </c>
      <c r="G28" s="53">
        <v>0.15384615384615385</v>
      </c>
      <c r="H28" s="53">
        <v>0.2</v>
      </c>
      <c r="I28" s="4"/>
      <c r="J28" s="45">
        <v>0</v>
      </c>
      <c r="K28" s="45">
        <v>0</v>
      </c>
      <c r="L28" s="45">
        <v>1.6900456312320431E-4</v>
      </c>
      <c r="M28" s="45">
        <v>0</v>
      </c>
      <c r="N28" s="54">
        <v>0</v>
      </c>
      <c r="O28" s="54">
        <v>0</v>
      </c>
      <c r="P28" s="54">
        <v>0.99</v>
      </c>
      <c r="Q28" s="54">
        <v>0</v>
      </c>
    </row>
    <row r="29" spans="1:17">
      <c r="A29" s="4" t="s">
        <v>4</v>
      </c>
      <c r="B29" s="4" t="s">
        <v>11</v>
      </c>
      <c r="C29" s="4" t="s">
        <v>22</v>
      </c>
      <c r="D29" s="4">
        <v>112</v>
      </c>
      <c r="E29" s="53">
        <v>0.81730769230769229</v>
      </c>
      <c r="F29" s="53">
        <v>0.72239836998857032</v>
      </c>
      <c r="G29" s="53">
        <v>0.13461538461538461</v>
      </c>
      <c r="H29" s="53">
        <v>6.6666666666666666E-2</v>
      </c>
      <c r="I29" s="4"/>
      <c r="J29" s="45">
        <v>1.1957125165478073E-2</v>
      </c>
      <c r="K29" s="45">
        <v>2.5320118342935689E-2</v>
      </c>
      <c r="L29" s="45">
        <v>7.0981916511745815E-3</v>
      </c>
      <c r="M29" s="45">
        <v>5.0885610046238837E-2</v>
      </c>
      <c r="N29" s="54">
        <v>0.89985399575700376</v>
      </c>
      <c r="O29" s="54">
        <v>0.90648089508127505</v>
      </c>
      <c r="P29" s="54">
        <v>0.99399999999999999</v>
      </c>
      <c r="Q29" s="54">
        <v>0.13603507153284539</v>
      </c>
    </row>
    <row r="30" spans="1:17">
      <c r="A30" s="4" t="s">
        <v>4</v>
      </c>
      <c r="B30" s="4" t="s">
        <v>5</v>
      </c>
      <c r="C30" s="4" t="s">
        <v>6</v>
      </c>
      <c r="D30" s="4">
        <v>139</v>
      </c>
      <c r="E30" s="53">
        <v>0.27884615384615385</v>
      </c>
      <c r="F30" s="53">
        <v>9.642192834938608E-2</v>
      </c>
      <c r="G30" s="53">
        <v>0.13461538461538461</v>
      </c>
      <c r="H30" s="53">
        <v>0.26666666666666666</v>
      </c>
      <c r="I30" s="4"/>
      <c r="J30" s="45">
        <v>0.46871930648674037</v>
      </c>
      <c r="K30" s="45">
        <v>0.64923995274452517</v>
      </c>
      <c r="L30" s="45">
        <v>0.42876457664356937</v>
      </c>
      <c r="M30" s="45">
        <v>0.94528048574970525</v>
      </c>
      <c r="N30" s="54">
        <v>0.99951600803426666</v>
      </c>
      <c r="O30" s="54">
        <v>1</v>
      </c>
      <c r="P30" s="54">
        <v>0.59399999999999997</v>
      </c>
      <c r="Q30" s="54">
        <v>0.90972065173368133</v>
      </c>
    </row>
    <row r="31" spans="1:17">
      <c r="A31" s="4" t="s">
        <v>4</v>
      </c>
      <c r="B31" s="4" t="s">
        <v>5</v>
      </c>
      <c r="C31" s="4" t="s">
        <v>25</v>
      </c>
      <c r="D31" s="4">
        <v>140</v>
      </c>
      <c r="E31" s="53">
        <v>0.39423076923076927</v>
      </c>
      <c r="F31" s="53">
        <v>0.30300157977883097</v>
      </c>
      <c r="G31" s="53">
        <v>0.23076923076923078</v>
      </c>
      <c r="H31" s="53">
        <v>0.13333333333333333</v>
      </c>
      <c r="I31" s="4"/>
      <c r="J31" s="45">
        <v>0.23837383097749501</v>
      </c>
      <c r="K31" s="45">
        <v>0.42633840049955768</v>
      </c>
      <c r="L31" s="45">
        <v>0.10833192496197397</v>
      </c>
      <c r="M31" s="45">
        <v>0.32264054148931526</v>
      </c>
      <c r="N31" s="54">
        <v>0.88314820640644032</v>
      </c>
      <c r="O31" s="54">
        <v>0.89107029765674473</v>
      </c>
      <c r="P31" s="54">
        <v>0.92599999999999993</v>
      </c>
      <c r="Q31" s="54">
        <v>0.49631805829753306</v>
      </c>
    </row>
    <row r="32" spans="1:17">
      <c r="A32" s="4" t="s">
        <v>4</v>
      </c>
      <c r="B32" s="4" t="s">
        <v>5</v>
      </c>
      <c r="C32" s="4" t="s">
        <v>28</v>
      </c>
      <c r="D32" s="4">
        <v>141</v>
      </c>
      <c r="E32" s="53">
        <v>0.28846153846153849</v>
      </c>
      <c r="F32" s="53">
        <v>0.41222581373169975</v>
      </c>
      <c r="G32" s="53">
        <v>0.30769230769230771</v>
      </c>
      <c r="H32" s="53">
        <v>0.4</v>
      </c>
      <c r="I32" s="4"/>
      <c r="J32" s="45">
        <v>0.2936755348678311</v>
      </c>
      <c r="K32" s="45">
        <v>0.39014387013979629</v>
      </c>
      <c r="L32" s="45">
        <v>0.21446679060334628</v>
      </c>
      <c r="M32" s="45">
        <v>0.53909104329373925</v>
      </c>
      <c r="N32" s="54">
        <v>0.94684558236333283</v>
      </c>
      <c r="O32" s="54">
        <v>0.96157905847582859</v>
      </c>
      <c r="P32" s="54">
        <v>0.95599999999999996</v>
      </c>
      <c r="Q32" s="54">
        <v>0.51909289865730923</v>
      </c>
    </row>
    <row r="33" spans="1:17">
      <c r="A33" s="4" t="s">
        <v>4</v>
      </c>
      <c r="B33" s="4" t="s">
        <v>5</v>
      </c>
      <c r="C33" s="4" t="s">
        <v>9</v>
      </c>
      <c r="D33" s="4">
        <v>142</v>
      </c>
      <c r="E33" s="53">
        <v>0.625</v>
      </c>
      <c r="F33" s="53">
        <v>0.13572566084987747</v>
      </c>
      <c r="G33" s="53">
        <v>0.25</v>
      </c>
      <c r="H33" s="53">
        <v>0.46666666666666667</v>
      </c>
      <c r="I33" s="4"/>
      <c r="J33" s="45">
        <v>1</v>
      </c>
      <c r="K33" s="45">
        <v>0.53457243412117628</v>
      </c>
      <c r="L33" s="45">
        <v>0.62480986986648634</v>
      </c>
      <c r="M33" s="45">
        <v>0.81440507466208867</v>
      </c>
      <c r="N33" s="54">
        <v>0.89784946236559138</v>
      </c>
      <c r="O33" s="54">
        <v>0.97698965590035891</v>
      </c>
      <c r="P33" s="54">
        <v>0.7</v>
      </c>
      <c r="Q33" s="54">
        <v>0.92151874519416765</v>
      </c>
    </row>
    <row r="34" spans="1:17">
      <c r="A34" s="4" t="s">
        <v>4</v>
      </c>
      <c r="B34" s="4" t="s">
        <v>5</v>
      </c>
      <c r="C34" s="4" t="s">
        <v>29</v>
      </c>
      <c r="D34" s="4">
        <v>143</v>
      </c>
      <c r="E34" s="53">
        <v>0.36538461538461542</v>
      </c>
      <c r="F34" s="53">
        <v>0.38876136603548328</v>
      </c>
      <c r="G34" s="53">
        <v>0.44230769230769229</v>
      </c>
      <c r="H34" s="53">
        <v>0.4</v>
      </c>
      <c r="I34" s="4"/>
      <c r="J34" s="45">
        <v>0.47328863646069097</v>
      </c>
      <c r="K34" s="45">
        <v>0.44555989689986758</v>
      </c>
      <c r="L34" s="45">
        <v>0.2742944059489606</v>
      </c>
      <c r="M34" s="45">
        <v>0.80863352941124311</v>
      </c>
      <c r="N34" s="54">
        <v>0.93520154232106412</v>
      </c>
      <c r="O34" s="54">
        <v>0.97002322144817399</v>
      </c>
      <c r="P34" s="54">
        <v>0.88200000000000001</v>
      </c>
      <c r="Q34" s="54">
        <v>0.66501259207576036</v>
      </c>
    </row>
    <row r="35" spans="1:17">
      <c r="A35" s="4" t="s">
        <v>4</v>
      </c>
      <c r="B35" s="4" t="s">
        <v>5</v>
      </c>
      <c r="C35" s="4" t="s">
        <v>17</v>
      </c>
      <c r="D35" s="4">
        <v>144</v>
      </c>
      <c r="E35" s="53">
        <v>0.27884615384615385</v>
      </c>
      <c r="F35" s="53">
        <v>0.32633016285554128</v>
      </c>
      <c r="G35" s="53">
        <v>0.30769230769230771</v>
      </c>
      <c r="H35" s="53">
        <v>0.26666666666666666</v>
      </c>
      <c r="I35" s="4"/>
      <c r="J35" s="45">
        <v>0.79749754451893928</v>
      </c>
      <c r="K35" s="45">
        <v>1</v>
      </c>
      <c r="L35" s="45">
        <v>0.65928680074362012</v>
      </c>
      <c r="M35" s="45">
        <v>0.96640234555933402</v>
      </c>
      <c r="N35" s="54">
        <v>0.99342174253240734</v>
      </c>
      <c r="O35" s="54">
        <v>0.99788895925691368</v>
      </c>
      <c r="P35" s="54">
        <v>0.95</v>
      </c>
      <c r="Q35" s="54">
        <v>0.6871577223810319</v>
      </c>
    </row>
    <row r="36" spans="1:17">
      <c r="A36" s="4" t="s">
        <v>4</v>
      </c>
      <c r="B36" s="4" t="s">
        <v>5</v>
      </c>
      <c r="C36" s="4" t="s">
        <v>39</v>
      </c>
      <c r="D36" s="4">
        <v>145</v>
      </c>
      <c r="E36" s="53">
        <v>0.28846153846153844</v>
      </c>
      <c r="F36" s="53">
        <v>0.5180700853954181</v>
      </c>
      <c r="G36" s="53">
        <v>0.23076923076923078</v>
      </c>
      <c r="H36" s="53">
        <v>0.2</v>
      </c>
      <c r="I36" s="4"/>
      <c r="J36" s="45">
        <v>0.29649400008540805</v>
      </c>
      <c r="K36" s="45">
        <v>0.55033475745561333</v>
      </c>
      <c r="L36" s="45">
        <v>0.22021294574953523</v>
      </c>
      <c r="M36" s="45">
        <v>0.49376957072305583</v>
      </c>
      <c r="N36" s="54">
        <v>0.96429752599440177</v>
      </c>
      <c r="O36" s="54">
        <v>0.9805784251636056</v>
      </c>
      <c r="P36" s="54">
        <v>0.74399999999999999</v>
      </c>
      <c r="Q36" s="54">
        <v>0.87957318056901179</v>
      </c>
    </row>
    <row r="37" spans="1:17">
      <c r="A37" s="4" t="s">
        <v>4</v>
      </c>
      <c r="B37" s="4" t="s">
        <v>5</v>
      </c>
      <c r="C37" s="4" t="s">
        <v>5</v>
      </c>
      <c r="D37" s="4">
        <v>146</v>
      </c>
      <c r="E37" s="53">
        <v>0.36538461538461542</v>
      </c>
      <c r="F37" s="53">
        <v>0.5531686577704007</v>
      </c>
      <c r="G37" s="53">
        <v>0.46153846153846156</v>
      </c>
      <c r="H37" s="53">
        <v>0.26666666666666666</v>
      </c>
      <c r="I37" s="4"/>
      <c r="J37" s="45">
        <v>0.23512832557543667</v>
      </c>
      <c r="K37" s="45">
        <v>0.31247517145920367</v>
      </c>
      <c r="L37" s="45">
        <v>7.3854994084840295E-2</v>
      </c>
      <c r="M37" s="45">
        <v>0.25111912856140661</v>
      </c>
      <c r="N37" s="54">
        <v>0.85342303317764923</v>
      </c>
      <c r="O37" s="54">
        <v>0.89803673210892965</v>
      </c>
      <c r="P37" s="54">
        <v>0.92999999999999994</v>
      </c>
      <c r="Q37" s="54">
        <v>0.46553075327274351</v>
      </c>
    </row>
    <row r="38" spans="1:17">
      <c r="A38" s="4" t="s">
        <v>4</v>
      </c>
      <c r="B38" s="4" t="s">
        <v>5</v>
      </c>
      <c r="C38" s="4" t="s">
        <v>31</v>
      </c>
      <c r="D38" s="4">
        <v>147</v>
      </c>
      <c r="E38" s="53">
        <v>0.34615384615384615</v>
      </c>
      <c r="F38" s="53">
        <v>0.33652637939444241</v>
      </c>
      <c r="G38" s="53">
        <v>0.15384615384615385</v>
      </c>
      <c r="H38" s="53">
        <v>0.4</v>
      </c>
      <c r="I38" s="4"/>
      <c r="J38" s="45">
        <v>0.38536106247597901</v>
      </c>
      <c r="K38" s="45">
        <v>0.79654442426170924</v>
      </c>
      <c r="L38" s="45">
        <v>0.28139259760013519</v>
      </c>
      <c r="M38" s="45">
        <v>1</v>
      </c>
      <c r="N38" s="54">
        <v>0.96297461462139733</v>
      </c>
      <c r="O38" s="54">
        <v>0.96748997255647029</v>
      </c>
      <c r="P38" s="54">
        <v>0.74199999999999999</v>
      </c>
      <c r="Q38" s="54">
        <v>0.77454704019617449</v>
      </c>
    </row>
    <row r="39" spans="1:17">
      <c r="A39" s="4" t="s">
        <v>4</v>
      </c>
      <c r="B39" s="4" t="s">
        <v>5</v>
      </c>
      <c r="C39" s="4" t="s">
        <v>41</v>
      </c>
      <c r="D39" s="4">
        <v>148</v>
      </c>
      <c r="E39" s="53">
        <v>0.44230769230769235</v>
      </c>
      <c r="F39" s="53">
        <v>0.13969449115833468</v>
      </c>
      <c r="G39" s="53">
        <v>0.30769230769230771</v>
      </c>
      <c r="H39" s="53">
        <v>0.13333333333333333</v>
      </c>
      <c r="I39" s="4"/>
      <c r="J39" s="45">
        <v>0.72985437929709185</v>
      </c>
      <c r="K39" s="45">
        <v>0.47398323083496213</v>
      </c>
      <c r="L39" s="45">
        <v>0.47101571742437048</v>
      </c>
      <c r="M39" s="45">
        <v>0.76674328178455564</v>
      </c>
      <c r="N39" s="54">
        <v>0.95988916583984707</v>
      </c>
      <c r="O39" s="54">
        <v>0.98627823516993873</v>
      </c>
      <c r="P39" s="54">
        <v>0.69</v>
      </c>
      <c r="Q39" s="54">
        <v>0.73175240989064472</v>
      </c>
    </row>
    <row r="40" spans="1:17">
      <c r="A40" s="4" t="s">
        <v>4</v>
      </c>
      <c r="B40" s="4" t="s">
        <v>5</v>
      </c>
      <c r="C40" s="4" t="s">
        <v>42</v>
      </c>
      <c r="D40" s="4">
        <v>149</v>
      </c>
      <c r="E40" s="53">
        <v>0.43269230769230771</v>
      </c>
      <c r="F40" s="53">
        <v>0.45011529837435682</v>
      </c>
      <c r="G40" s="53">
        <v>0.23076923076923078</v>
      </c>
      <c r="H40" s="53">
        <v>0.26666666666666666</v>
      </c>
      <c r="I40" s="4"/>
      <c r="J40" s="45">
        <v>0.53670410385617284</v>
      </c>
      <c r="K40" s="45">
        <v>0.71175675127725435</v>
      </c>
      <c r="L40" s="45">
        <v>0.3282068615852628</v>
      </c>
      <c r="M40" s="45">
        <v>0.85218537371994996</v>
      </c>
      <c r="N40" s="54">
        <v>0.94063435213642121</v>
      </c>
      <c r="O40" s="54">
        <v>0.96073464217859406</v>
      </c>
      <c r="P40" s="54">
        <v>0.872</v>
      </c>
      <c r="Q40" s="54">
        <v>0.62064456623110464</v>
      </c>
    </row>
    <row r="41" spans="1:17">
      <c r="A41" s="4" t="s">
        <v>4</v>
      </c>
      <c r="B41" s="4" t="s">
        <v>5</v>
      </c>
      <c r="C41" s="4" t="s">
        <v>34</v>
      </c>
      <c r="D41" s="4">
        <v>150</v>
      </c>
      <c r="E41" s="53">
        <v>0.50961538461538458</v>
      </c>
      <c r="F41" s="53">
        <v>6.1347926267281125E-2</v>
      </c>
      <c r="G41" s="53">
        <v>0.36538461538461536</v>
      </c>
      <c r="H41" s="53">
        <v>0.6</v>
      </c>
      <c r="I41" s="4"/>
      <c r="J41" s="45">
        <v>0.69043857026946243</v>
      </c>
      <c r="K41" s="45">
        <v>0.30157155951600079</v>
      </c>
      <c r="L41" s="45">
        <v>0.37806320770660806</v>
      </c>
      <c r="M41" s="45">
        <v>0.47047210499247788</v>
      </c>
      <c r="N41" s="54">
        <v>0.9353104405133541</v>
      </c>
      <c r="O41" s="54">
        <v>0.99071142073042007</v>
      </c>
      <c r="P41" s="54">
        <v>0</v>
      </c>
      <c r="Q41" s="54">
        <v>1</v>
      </c>
    </row>
    <row r="42" spans="1:17">
      <c r="A42" s="4" t="s">
        <v>4</v>
      </c>
      <c r="B42" s="4" t="s">
        <v>5</v>
      </c>
      <c r="C42" s="4" t="s">
        <v>18</v>
      </c>
      <c r="D42" s="4">
        <v>151</v>
      </c>
      <c r="E42" s="53">
        <v>0.32692307692307698</v>
      </c>
      <c r="F42" s="53">
        <v>0.34075529080306632</v>
      </c>
      <c r="G42" s="53">
        <v>0.26923076923076922</v>
      </c>
      <c r="H42" s="53">
        <v>0.33333333333333331</v>
      </c>
      <c r="I42" s="4"/>
      <c r="J42" s="45">
        <v>2.8526284323354828E-2</v>
      </c>
      <c r="K42" s="45">
        <v>4.8786147484204456E-2</v>
      </c>
      <c r="L42" s="45">
        <v>2.1463579516646951E-2</v>
      </c>
      <c r="M42" s="45">
        <v>0.11543886905047164</v>
      </c>
      <c r="N42" s="54">
        <v>0.81198525437811064</v>
      </c>
      <c r="O42" s="54">
        <v>0.78002955457040324</v>
      </c>
      <c r="P42" s="54">
        <v>0.95399999999999996</v>
      </c>
      <c r="Q42" s="54">
        <v>0.37400775281395782</v>
      </c>
    </row>
    <row r="43" spans="1:17">
      <c r="A43" s="4" t="s">
        <v>4</v>
      </c>
      <c r="B43" s="4" t="s">
        <v>5</v>
      </c>
      <c r="C43" s="4" t="s">
        <v>30</v>
      </c>
      <c r="D43" s="4">
        <v>152</v>
      </c>
      <c r="E43" s="53">
        <v>0.49038461538461542</v>
      </c>
      <c r="F43" s="53">
        <v>0.40958086720393716</v>
      </c>
      <c r="G43" s="53">
        <v>0.36538461538461536</v>
      </c>
      <c r="H43" s="53">
        <v>0.2</v>
      </c>
      <c r="I43" s="4"/>
      <c r="J43" s="45">
        <v>0.79549045565187693</v>
      </c>
      <c r="K43" s="45">
        <v>0.43085099613282507</v>
      </c>
      <c r="L43" s="45">
        <v>0.63579516646949463</v>
      </c>
      <c r="M43" s="45">
        <v>0.74314516781973761</v>
      </c>
      <c r="N43" s="54">
        <v>0.95636409102275566</v>
      </c>
      <c r="O43" s="54">
        <v>0.9915558370276546</v>
      </c>
      <c r="P43" s="54">
        <v>0.19999999999999996</v>
      </c>
      <c r="Q43" s="54">
        <v>0.83732762553496098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Weightages_Paddy_Flood</vt:lpstr>
      <vt:lpstr>Flood_Hazard_Data</vt:lpstr>
      <vt:lpstr>WP_Paddy_Flood_Exposure_Data</vt:lpstr>
      <vt:lpstr>Final_Flood</vt:lpstr>
      <vt:lpstr>WP_Paddy_Flood_Exposure_Data!Database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2026-08-17T10:35:45Z</dcterms:modified>
</cp:coreProperties>
</file>