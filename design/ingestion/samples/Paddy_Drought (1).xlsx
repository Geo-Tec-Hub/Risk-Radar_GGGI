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GGGI\FINAL_after_validation\SUBMISSION\WEB\Variables by Sectors\Email_List\4.Paddy Sector_with Dashboard\WP_Paddy_Subsector\"/>
    </mc:Choice>
  </mc:AlternateContent>
  <xr:revisionPtr revIDLastSave="0" documentId="13_ncr:1_{94C4B360-800B-4746-8E87-4DC6F65298BA}" xr6:coauthVersionLast="47" xr6:coauthVersionMax="47" xr10:uidLastSave="{00000000-0000-0000-0000-000000000000}"/>
  <bookViews>
    <workbookView xWindow="-120" yWindow="-120" windowWidth="20730" windowHeight="11160" tabRatio="911" xr2:uid="{DBC04890-A954-4B81-9A97-CE9FD0FE97DC}"/>
  </bookViews>
  <sheets>
    <sheet name="Weightages_Paddy_Drought" sheetId="13" r:id="rId1"/>
    <sheet name="Drought_Hazard_Data" sheetId="16" r:id="rId2"/>
    <sheet name="Paddy_Drought_Exposure_Data" sheetId="3" r:id="rId3"/>
    <sheet name="Sheet6" sheetId="18" r:id="rId4"/>
    <sheet name="Final_Drought" sheetId="19" r:id="rId5"/>
  </sheets>
  <definedNames>
    <definedName name="_xlnm._FilterDatabase" localSheetId="2" hidden="1">Paddy_Drought_Exposure_Data!$A$4:$J$4</definedName>
    <definedName name="_xlnm.Database" localSheetId="2">Paddy_Drought_Exposure_Data!$A$4:$D$44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8" l="1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5" i="18"/>
  <c r="I44" i="18"/>
  <c r="H44" i="18"/>
  <c r="I43" i="18"/>
  <c r="H43" i="18"/>
  <c r="I42" i="18"/>
  <c r="H42" i="18"/>
  <c r="I41" i="18"/>
  <c r="H41" i="18"/>
  <c r="I40" i="18"/>
  <c r="H40" i="18"/>
  <c r="I39" i="18"/>
  <c r="H39" i="18"/>
  <c r="I38" i="18"/>
  <c r="H38" i="18"/>
  <c r="I37" i="18"/>
  <c r="H37" i="18"/>
  <c r="I36" i="18"/>
  <c r="H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H5" i="18"/>
  <c r="S44" i="16" l="1"/>
  <c r="R44" i="16"/>
  <c r="Q44" i="16"/>
  <c r="M44" i="16"/>
  <c r="L44" i="16"/>
  <c r="K44" i="16"/>
  <c r="J44" i="16"/>
  <c r="R43" i="16"/>
  <c r="S43" i="16" s="1"/>
  <c r="Q43" i="16"/>
  <c r="M43" i="16"/>
  <c r="L43" i="16"/>
  <c r="K43" i="16"/>
  <c r="J43" i="16"/>
  <c r="R42" i="16"/>
  <c r="Q42" i="16"/>
  <c r="S42" i="16" s="1"/>
  <c r="M42" i="16"/>
  <c r="L42" i="16"/>
  <c r="K42" i="16"/>
  <c r="J42" i="16"/>
  <c r="R41" i="16"/>
  <c r="Q41" i="16"/>
  <c r="S41" i="16" s="1"/>
  <c r="M41" i="16"/>
  <c r="L41" i="16"/>
  <c r="K41" i="16"/>
  <c r="J41" i="16"/>
  <c r="S40" i="16"/>
  <c r="R40" i="16"/>
  <c r="Q40" i="16"/>
  <c r="M40" i="16"/>
  <c r="L40" i="16"/>
  <c r="K40" i="16"/>
  <c r="J40" i="16"/>
  <c r="R39" i="16"/>
  <c r="S39" i="16" s="1"/>
  <c r="Q39" i="16"/>
  <c r="M39" i="16"/>
  <c r="L39" i="16"/>
  <c r="K39" i="16"/>
  <c r="J39" i="16"/>
  <c r="R38" i="16"/>
  <c r="Q38" i="16"/>
  <c r="S38" i="16" s="1"/>
  <c r="M38" i="16"/>
  <c r="L38" i="16"/>
  <c r="K38" i="16"/>
  <c r="J38" i="16"/>
  <c r="R37" i="16"/>
  <c r="Q37" i="16"/>
  <c r="S37" i="16" s="1"/>
  <c r="M37" i="16"/>
  <c r="L37" i="16"/>
  <c r="K37" i="16"/>
  <c r="J37" i="16"/>
  <c r="S36" i="16"/>
  <c r="R36" i="16"/>
  <c r="Q36" i="16"/>
  <c r="M36" i="16"/>
  <c r="L36" i="16"/>
  <c r="K36" i="16"/>
  <c r="J36" i="16"/>
  <c r="R35" i="16"/>
  <c r="S35" i="16" s="1"/>
  <c r="Q35" i="16"/>
  <c r="M35" i="16"/>
  <c r="L35" i="16"/>
  <c r="K35" i="16"/>
  <c r="J35" i="16"/>
  <c r="R34" i="16"/>
  <c r="Q34" i="16"/>
  <c r="S34" i="16" s="1"/>
  <c r="M34" i="16"/>
  <c r="L34" i="16"/>
  <c r="K34" i="16"/>
  <c r="J34" i="16"/>
  <c r="R33" i="16"/>
  <c r="Q33" i="16"/>
  <c r="S33" i="16" s="1"/>
  <c r="M33" i="16"/>
  <c r="L33" i="16"/>
  <c r="K33" i="16"/>
  <c r="J33" i="16"/>
  <c r="S32" i="16"/>
  <c r="R32" i="16"/>
  <c r="Q32" i="16"/>
  <c r="M32" i="16"/>
  <c r="L32" i="16"/>
  <c r="K32" i="16"/>
  <c r="J32" i="16"/>
  <c r="R31" i="16"/>
  <c r="S31" i="16" s="1"/>
  <c r="Q31" i="16"/>
  <c r="M31" i="16"/>
  <c r="L31" i="16"/>
  <c r="K31" i="16"/>
  <c r="J31" i="16"/>
  <c r="R30" i="16"/>
  <c r="Q30" i="16"/>
  <c r="S30" i="16" s="1"/>
  <c r="M30" i="16"/>
  <c r="L30" i="16"/>
  <c r="K30" i="16"/>
  <c r="J30" i="16"/>
  <c r="R29" i="16"/>
  <c r="Q29" i="16"/>
  <c r="S29" i="16" s="1"/>
  <c r="M29" i="16"/>
  <c r="L29" i="16"/>
  <c r="K29" i="16"/>
  <c r="J29" i="16"/>
  <c r="S28" i="16"/>
  <c r="R28" i="16"/>
  <c r="Q28" i="16"/>
  <c r="M28" i="16"/>
  <c r="L28" i="16"/>
  <c r="K28" i="16"/>
  <c r="J28" i="16"/>
  <c r="R27" i="16"/>
  <c r="S27" i="16" s="1"/>
  <c r="Q27" i="16"/>
  <c r="M27" i="16"/>
  <c r="L27" i="16"/>
  <c r="K27" i="16"/>
  <c r="J27" i="16"/>
  <c r="R26" i="16"/>
  <c r="Q26" i="16"/>
  <c r="S26" i="16" s="1"/>
  <c r="M26" i="16"/>
  <c r="L26" i="16"/>
  <c r="K26" i="16"/>
  <c r="J26" i="16"/>
  <c r="R25" i="16"/>
  <c r="Q25" i="16"/>
  <c r="S25" i="16" s="1"/>
  <c r="M25" i="16"/>
  <c r="L25" i="16"/>
  <c r="K25" i="16"/>
  <c r="J25" i="16"/>
  <c r="S24" i="16"/>
  <c r="R24" i="16"/>
  <c r="Q24" i="16"/>
  <c r="M24" i="16"/>
  <c r="L24" i="16"/>
  <c r="K24" i="16"/>
  <c r="J24" i="16"/>
  <c r="R23" i="16"/>
  <c r="S23" i="16" s="1"/>
  <c r="Q23" i="16"/>
  <c r="M23" i="16"/>
  <c r="L23" i="16"/>
  <c r="K23" i="16"/>
  <c r="J23" i="16"/>
  <c r="R22" i="16"/>
  <c r="Q22" i="16"/>
  <c r="S22" i="16" s="1"/>
  <c r="M22" i="16"/>
  <c r="L22" i="16"/>
  <c r="K22" i="16"/>
  <c r="J22" i="16"/>
  <c r="R21" i="16"/>
  <c r="Q21" i="16"/>
  <c r="S21" i="16" s="1"/>
  <c r="M21" i="16"/>
  <c r="L21" i="16"/>
  <c r="K21" i="16"/>
  <c r="J21" i="16"/>
  <c r="S20" i="16"/>
  <c r="R20" i="16"/>
  <c r="Q20" i="16"/>
  <c r="M20" i="16"/>
  <c r="L20" i="16"/>
  <c r="K20" i="16"/>
  <c r="J20" i="16"/>
  <c r="R19" i="16"/>
  <c r="S19" i="16" s="1"/>
  <c r="Q19" i="16"/>
  <c r="M19" i="16"/>
  <c r="L19" i="16"/>
  <c r="K19" i="16"/>
  <c r="J19" i="16"/>
  <c r="R18" i="16"/>
  <c r="Q18" i="16"/>
  <c r="S18" i="16" s="1"/>
  <c r="M18" i="16"/>
  <c r="L18" i="16"/>
  <c r="K18" i="16"/>
  <c r="J18" i="16"/>
  <c r="R17" i="16"/>
  <c r="Q17" i="16"/>
  <c r="S17" i="16" s="1"/>
  <c r="M17" i="16"/>
  <c r="L17" i="16"/>
  <c r="K17" i="16"/>
  <c r="J17" i="16"/>
  <c r="S16" i="16"/>
  <c r="R16" i="16"/>
  <c r="Q16" i="16"/>
  <c r="M16" i="16"/>
  <c r="L16" i="16"/>
  <c r="K16" i="16"/>
  <c r="J16" i="16"/>
  <c r="R15" i="16"/>
  <c r="S15" i="16" s="1"/>
  <c r="Q15" i="16"/>
  <c r="M15" i="16"/>
  <c r="L15" i="16"/>
  <c r="K15" i="16"/>
  <c r="J15" i="16"/>
  <c r="R14" i="16"/>
  <c r="Q14" i="16"/>
  <c r="S14" i="16" s="1"/>
  <c r="M14" i="16"/>
  <c r="L14" i="16"/>
  <c r="K14" i="16"/>
  <c r="J14" i="16"/>
  <c r="R13" i="16"/>
  <c r="Q13" i="16"/>
  <c r="S13" i="16" s="1"/>
  <c r="M13" i="16"/>
  <c r="L13" i="16"/>
  <c r="K13" i="16"/>
  <c r="J13" i="16"/>
  <c r="S12" i="16"/>
  <c r="R12" i="16"/>
  <c r="Q12" i="16"/>
  <c r="M12" i="16"/>
  <c r="L12" i="16"/>
  <c r="K12" i="16"/>
  <c r="J12" i="16"/>
  <c r="R11" i="16"/>
  <c r="S11" i="16" s="1"/>
  <c r="Q11" i="16"/>
  <c r="M11" i="16"/>
  <c r="L11" i="16"/>
  <c r="K11" i="16"/>
  <c r="J11" i="16"/>
  <c r="R10" i="16"/>
  <c r="Q10" i="16"/>
  <c r="S10" i="16" s="1"/>
  <c r="M10" i="16"/>
  <c r="L10" i="16"/>
  <c r="K10" i="16"/>
  <c r="J10" i="16"/>
  <c r="R9" i="16"/>
  <c r="Q9" i="16"/>
  <c r="S9" i="16" s="1"/>
  <c r="M9" i="16"/>
  <c r="L9" i="16"/>
  <c r="K9" i="16"/>
  <c r="J9" i="16"/>
  <c r="S8" i="16"/>
  <c r="R8" i="16"/>
  <c r="Q8" i="16"/>
  <c r="M8" i="16"/>
  <c r="L8" i="16"/>
  <c r="K8" i="16"/>
  <c r="J8" i="16"/>
  <c r="R7" i="16"/>
  <c r="S7" i="16" s="1"/>
  <c r="Q7" i="16"/>
  <c r="M7" i="16"/>
  <c r="L7" i="16"/>
  <c r="K7" i="16"/>
  <c r="J7" i="16"/>
  <c r="R6" i="16"/>
  <c r="Q6" i="16"/>
  <c r="S6" i="16" s="1"/>
  <c r="M6" i="16"/>
  <c r="L6" i="16"/>
  <c r="K6" i="16"/>
  <c r="J6" i="16"/>
  <c r="R5" i="16"/>
  <c r="Q5" i="16"/>
  <c r="S5" i="16" s="1"/>
  <c r="M5" i="16"/>
  <c r="L5" i="16"/>
  <c r="K5" i="16"/>
  <c r="J5" i="16"/>
</calcChain>
</file>

<file path=xl/sharedStrings.xml><?xml version="1.0" encoding="utf-8"?>
<sst xmlns="http://schemas.openxmlformats.org/spreadsheetml/2006/main" count="601" uniqueCount="115">
  <si>
    <t>PROVINCE_N</t>
  </si>
  <si>
    <t>DISTRICT_N</t>
  </si>
  <si>
    <t>DSD_N</t>
  </si>
  <si>
    <t>DS_Code</t>
  </si>
  <si>
    <t>WESTERN</t>
  </si>
  <si>
    <t>KALUTARA</t>
  </si>
  <si>
    <t>AGALAWATTA</t>
  </si>
  <si>
    <t>COLOMBO</t>
  </si>
  <si>
    <t>HOMAGAMA</t>
  </si>
  <si>
    <t>BULATHSINHALA</t>
  </si>
  <si>
    <t>KOLONNAWA</t>
  </si>
  <si>
    <t>GAMPAHA</t>
  </si>
  <si>
    <t>MINUWANGODA</t>
  </si>
  <si>
    <t>KESBEWA</t>
  </si>
  <si>
    <t>DEHIWALA</t>
  </si>
  <si>
    <t>MIRIGAMA</t>
  </si>
  <si>
    <t>ATTANAGALLA</t>
  </si>
  <si>
    <t>HORANA</t>
  </si>
  <si>
    <t>PANADURA</t>
  </si>
  <si>
    <t>MAHARAGAMA</t>
  </si>
  <si>
    <t>KATANA</t>
  </si>
  <si>
    <t>PADUKKA</t>
  </si>
  <si>
    <t>WATTALA</t>
  </si>
  <si>
    <t>KELANIYA</t>
  </si>
  <si>
    <t>JA ELA</t>
  </si>
  <si>
    <t>BANDARAGAMA</t>
  </si>
  <si>
    <t>BIYAGAMA</t>
  </si>
  <si>
    <t>DIVULAPITIYA</t>
  </si>
  <si>
    <t>BERUWALA</t>
  </si>
  <si>
    <t>DODANGODA</t>
  </si>
  <si>
    <t>WALALLAWITA</t>
  </si>
  <si>
    <t>MADURAWALA</t>
  </si>
  <si>
    <t>MORATUWA</t>
  </si>
  <si>
    <t>RATMALANA</t>
  </si>
  <si>
    <t>PALINDANUWARA</t>
  </si>
  <si>
    <t>DOMPE</t>
  </si>
  <si>
    <t>MAHARA</t>
  </si>
  <si>
    <t>KADUWELA</t>
  </si>
  <si>
    <t>SEETHAWAKA</t>
  </si>
  <si>
    <t>INGIRIYA</t>
  </si>
  <si>
    <t>THIMBIRIGASYAYA</t>
  </si>
  <si>
    <t>MATUGAMA</t>
  </si>
  <si>
    <t>MILLANIYA</t>
  </si>
  <si>
    <t>NEGOMBO</t>
  </si>
  <si>
    <t>SRI JAYAWARDANAPURA KOTTE</t>
  </si>
  <si>
    <t>ASWEDDUMIZED_PADDY_EXTENT</t>
  </si>
  <si>
    <t>PCT_PADDY_LAND_TOTAL _LAND_AREA</t>
  </si>
  <si>
    <t>PADDY_FARMERS</t>
  </si>
  <si>
    <t>PCT_PADDY_FARMERS_AGRICULTURAL_OPERATORS</t>
  </si>
  <si>
    <t>PCT_RAIN_FED_PADDY_LANDS</t>
  </si>
  <si>
    <t>No Paddy</t>
  </si>
  <si>
    <t>Colombo</t>
  </si>
  <si>
    <t>Dehiwala</t>
  </si>
  <si>
    <t>Moratuwa</t>
  </si>
  <si>
    <t>Ratmalana</t>
  </si>
  <si>
    <t>Thimbirigasyaya</t>
  </si>
  <si>
    <t>Kelaniya</t>
  </si>
  <si>
    <t>Negombo</t>
  </si>
  <si>
    <t>Variable (Drought)</t>
  </si>
  <si>
    <t>Weight (%)</t>
  </si>
  <si>
    <t>Relationship</t>
  </si>
  <si>
    <t>Source</t>
  </si>
  <si>
    <t>H1</t>
  </si>
  <si>
    <t>No. of drought events - 1974 to 2022 (1974-2004, 25%, 2005 -2022, 75%)</t>
  </si>
  <si>
    <t>+</t>
  </si>
  <si>
    <t>Disaster Management Centre, 2023</t>
  </si>
  <si>
    <t>H2</t>
  </si>
  <si>
    <t>Occurrence of warm days (TX90p)</t>
  </si>
  <si>
    <t>Developed by project (Based on Department of Meteorology, 2023</t>
  </si>
  <si>
    <t>H3</t>
  </si>
  <si>
    <t>SPI (Intensity)</t>
  </si>
  <si>
    <t>E1</t>
  </si>
  <si>
    <t xml:space="preserve">Total Aswedumized paddy  extent </t>
  </si>
  <si>
    <t>Department of Census &amp; Statistics, District Statistical Handbook, 2023</t>
  </si>
  <si>
    <t>E2</t>
  </si>
  <si>
    <t>% paddy land area (from total land area)</t>
  </si>
  <si>
    <t>Calculated by project (Based on Land Use Policy Planning Department, 2018)</t>
  </si>
  <si>
    <t>E3</t>
  </si>
  <si>
    <t xml:space="preserve">Max # of drought affected People during 2005 to 2022 </t>
  </si>
  <si>
    <t>E4</t>
  </si>
  <si>
    <t>No. of paddy farmers</t>
  </si>
  <si>
    <t>Department of Census and Statistics, 2013/2014</t>
  </si>
  <si>
    <t>E5</t>
  </si>
  <si>
    <t>% of Paddy farmers from total  Agricultural Operators</t>
  </si>
  <si>
    <t>E6</t>
  </si>
  <si>
    <t>% rain-fed paddy lands</t>
  </si>
  <si>
    <t>Original Data</t>
  </si>
  <si>
    <t>Normalization</t>
  </si>
  <si>
    <t>% Calculation</t>
  </si>
  <si>
    <t>WEB</t>
  </si>
  <si>
    <t>STANDARD_PRECIPITATION_INDEX</t>
  </si>
  <si>
    <t>OCCURRENCE_WARM_DAYS</t>
  </si>
  <si>
    <t>No. of Drought events - 1974 to 2005</t>
  </si>
  <si>
    <t>No. of Drought events - 2005 -2022</t>
  </si>
  <si>
    <t>SPI (sevirity)</t>
  </si>
  <si>
    <t>No. of Drought events - 1974 to 2004</t>
  </si>
  <si>
    <t>No. of Drought events - 1974 to 2004 (25%)</t>
  </si>
  <si>
    <t>No. of Drought events - 2005 -2022 (75%)</t>
  </si>
  <si>
    <t>DROUGHT_EVENTS_1974_TO_2022</t>
  </si>
  <si>
    <t>Calculation</t>
  </si>
  <si>
    <t>Max # of drought affected People - 1974 to 2005</t>
  </si>
  <si>
    <t>Max # of drought affected People - 2005 to 2022</t>
  </si>
  <si>
    <t>Max # of drought affected People - 1974 to 2004</t>
  </si>
  <si>
    <t>Max # of drought affected People - 1974 to 2004 (25%)</t>
  </si>
  <si>
    <t>Max # of drought affected People - 2005 to 2022 (75%)</t>
  </si>
  <si>
    <t>MAXIMUM_DROUGHT_AFFECTED_PEOPLE_DURING_1974_TO_2022</t>
  </si>
  <si>
    <t>Noted: See Sheet 6</t>
  </si>
  <si>
    <t>No. of drought events - 1974 to 2022</t>
  </si>
  <si>
    <t>Asweddumized Paddy Area (ha)</t>
  </si>
  <si>
    <t>% Paddy_area</t>
  </si>
  <si>
    <t>Max # of drought affected People during 2005 to 2022</t>
  </si>
  <si>
    <t>No. of Paddy Farmers</t>
  </si>
  <si>
    <t>% Paddy farmers</t>
  </si>
  <si>
    <t>% Rainfed</t>
  </si>
  <si>
    <t>Normalized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</si>
</sst>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rial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1" fontId="0" fillId="0" borderId="0" xfId="0" applyNumberFormat="1"/>
    <xf numFmtId="1" fontId="16" fillId="0" borderId="10" xfId="0" applyNumberFormat="1" applyFont="1" applyBorder="1"/>
    <xf numFmtId="1" fontId="0" fillId="0" borderId="10" xfId="0" applyNumberFormat="1" applyBorder="1"/>
    <xf numFmtId="0" fontId="0" fillId="0" borderId="10" xfId="0" applyBorder="1"/>
    <xf numFmtId="2" fontId="0" fillId="0" borderId="10" xfId="0" applyNumberFormat="1" applyBorder="1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1" fontId="18" fillId="0" borderId="10" xfId="0" applyNumberFormat="1" applyFont="1" applyBorder="1"/>
    <xf numFmtId="0" fontId="19" fillId="0" borderId="10" xfId="0" applyFont="1" applyBorder="1" applyAlignment="1">
      <alignment wrapText="1"/>
    </xf>
    <xf numFmtId="0" fontId="20" fillId="0" borderId="0" xfId="0" applyFont="1"/>
    <xf numFmtId="1" fontId="20" fillId="0" borderId="10" xfId="0" applyNumberFormat="1" applyFont="1" applyBorder="1"/>
    <xf numFmtId="2" fontId="20" fillId="0" borderId="10" xfId="0" applyNumberFormat="1" applyFont="1" applyBorder="1"/>
    <xf numFmtId="164" fontId="20" fillId="0" borderId="10" xfId="0" applyNumberFormat="1" applyFont="1" applyBorder="1"/>
    <xf numFmtId="0" fontId="20" fillId="0" borderId="10" xfId="0" applyFont="1" applyBorder="1"/>
    <xf numFmtId="1" fontId="20" fillId="0" borderId="0" xfId="0" applyNumberFormat="1" applyFont="1"/>
    <xf numFmtId="0" fontId="21" fillId="0" borderId="10" xfId="0" applyFont="1" applyBorder="1" applyAlignment="1">
      <alignment vertical="center"/>
    </xf>
    <xf numFmtId="0" fontId="20" fillId="34" borderId="0" xfId="0" applyFont="1" applyFill="1"/>
    <xf numFmtId="0" fontId="0" fillId="34" borderId="0" xfId="0" applyFill="1"/>
    <xf numFmtId="0" fontId="22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vertical="center" wrapText="1"/>
    </xf>
    <xf numFmtId="0" fontId="22" fillId="0" borderId="10" xfId="0" applyFont="1" applyBorder="1" applyAlignment="1">
      <alignment horizontal="right" vertical="center" wrapText="1"/>
    </xf>
    <xf numFmtId="49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wrapText="1"/>
    </xf>
    <xf numFmtId="0" fontId="14" fillId="0" borderId="10" xfId="0" applyFont="1" applyBorder="1" applyAlignment="1">
      <alignment wrapText="1"/>
    </xf>
    <xf numFmtId="0" fontId="23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wrapText="1"/>
    </xf>
    <xf numFmtId="0" fontId="0" fillId="0" borderId="0" xfId="0" applyAlignment="1">
      <alignment horizontal="center"/>
    </xf>
    <xf numFmtId="0" fontId="18" fillId="0" borderId="0" xfId="0" applyFont="1"/>
    <xf numFmtId="0" fontId="18" fillId="36" borderId="0" xfId="0" applyFont="1" applyFill="1"/>
    <xf numFmtId="0" fontId="25" fillId="37" borderId="10" xfId="0" applyFont="1" applyFill="1" applyBorder="1" applyAlignment="1">
      <alignment vertical="center" wrapText="1"/>
    </xf>
    <xf numFmtId="0" fontId="25" fillId="33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0" fontId="24" fillId="37" borderId="10" xfId="0" applyFont="1" applyFill="1" applyBorder="1" applyAlignment="1">
      <alignment vertical="center" wrapText="1"/>
    </xf>
    <xf numFmtId="0" fontId="24" fillId="33" borderId="10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38" borderId="10" xfId="0" applyFont="1" applyFill="1" applyBorder="1" applyAlignment="1">
      <alignment vertical="center" wrapText="1"/>
    </xf>
    <xf numFmtId="0" fontId="18" fillId="36" borderId="10" xfId="0" applyFont="1" applyFill="1" applyBorder="1" applyAlignment="1">
      <alignment vertical="center" wrapText="1"/>
    </xf>
    <xf numFmtId="165" fontId="0" fillId="0" borderId="10" xfId="0" quotePrefix="1" applyNumberFormat="1" applyBorder="1" applyAlignment="1">
      <alignment horizontal="center"/>
    </xf>
    <xf numFmtId="165" fontId="0" fillId="0" borderId="0" xfId="0" quotePrefix="1" applyNumberFormat="1" applyAlignment="1">
      <alignment horizontal="center"/>
    </xf>
    <xf numFmtId="0" fontId="16" fillId="39" borderId="10" xfId="0" applyFont="1" applyFill="1" applyBorder="1" applyAlignment="1">
      <alignment wrapText="1"/>
    </xf>
    <xf numFmtId="0" fontId="18" fillId="39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wrapText="1"/>
    </xf>
    <xf numFmtId="2" fontId="0" fillId="40" borderId="10" xfId="0" applyNumberFormat="1" applyFill="1" applyBorder="1"/>
    <xf numFmtId="0" fontId="27" fillId="34" borderId="10" xfId="0" applyFont="1" applyFill="1" applyBorder="1" applyAlignment="1">
      <alignment vertical="center" wrapText="1"/>
    </xf>
    <xf numFmtId="0" fontId="26" fillId="41" borderId="10" xfId="0" applyFont="1" applyFill="1" applyBorder="1" applyAlignment="1">
      <alignment vertical="center" wrapText="1"/>
    </xf>
    <xf numFmtId="0" fontId="25" fillId="38" borderId="10" xfId="0" applyFont="1" applyFill="1" applyBorder="1" applyAlignment="1">
      <alignment vertical="center" wrapText="1"/>
    </xf>
    <xf numFmtId="165" fontId="0" fillId="41" borderId="10" xfId="0" applyNumberFormat="1" applyFill="1" applyBorder="1"/>
    <xf numFmtId="165" fontId="0" fillId="38" borderId="10" xfId="0" quotePrefix="1" applyNumberFormat="1" applyFill="1" applyBorder="1" applyAlignment="1">
      <alignment horizontal="center"/>
    </xf>
    <xf numFmtId="0" fontId="16" fillId="34" borderId="0" xfId="0" applyFont="1" applyFill="1"/>
    <xf numFmtId="0" fontId="16" fillId="0" borderId="12" xfId="0" applyFont="1" applyBorder="1" applyAlignment="1">
      <alignment horizontal="left" wrapText="1"/>
    </xf>
    <xf numFmtId="0" fontId="16" fillId="0" borderId="13" xfId="0" applyFont="1" applyBorder="1" applyAlignment="1">
      <alignment horizontal="left" wrapText="1"/>
    </xf>
    <xf numFmtId="0" fontId="18" fillId="35" borderId="11" xfId="0" applyFont="1" applyFill="1" applyBorder="1" applyAlignment="1">
      <alignment horizontal="center"/>
    </xf>
    <xf numFmtId="0" fontId="18" fillId="39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9A60-8D9A-41A6-92B9-2D3855DBAA25}">
  <sheetPr>
    <tabColor theme="5" tint="0.39997558519241921"/>
  </sheetPr>
  <dimension ref="A1:E11"/>
  <sheetViews>
    <sheetView tabSelected="1" workbookViewId="0">
      <selection sqref="A1:B1"/>
    </sheetView>
  </sheetViews>
  <sheetFormatPr defaultRowHeight="14.25"/>
  <cols>
    <col min="1" max="1" width="3.125" style="21" bestFit="1" customWidth="1"/>
    <col min="2" max="2" width="61.5" style="21" bestFit="1" customWidth="1"/>
    <col min="3" max="3" width="10.375" style="21" bestFit="1" customWidth="1"/>
    <col min="4" max="4" width="12" style="21" bestFit="1" customWidth="1"/>
    <col min="5" max="5" width="65.25" style="21" bestFit="1" customWidth="1"/>
    <col min="6" max="16384" width="9" style="21"/>
  </cols>
  <sheetData>
    <row r="1" spans="1:5" ht="15">
      <c r="A1" s="52" t="s">
        <v>58</v>
      </c>
      <c r="B1" s="53"/>
      <c r="C1" s="7" t="s">
        <v>59</v>
      </c>
      <c r="D1" s="7" t="s">
        <v>60</v>
      </c>
      <c r="E1" s="20" t="s">
        <v>61</v>
      </c>
    </row>
    <row r="2" spans="1:5">
      <c r="A2" s="22" t="s">
        <v>62</v>
      </c>
      <c r="B2" s="19" t="s">
        <v>63</v>
      </c>
      <c r="C2" s="23">
        <v>70</v>
      </c>
      <c r="D2" s="24" t="s">
        <v>64</v>
      </c>
      <c r="E2" s="22" t="s">
        <v>65</v>
      </c>
    </row>
    <row r="3" spans="1:5">
      <c r="A3" s="22" t="s">
        <v>66</v>
      </c>
      <c r="B3" s="19" t="s">
        <v>67</v>
      </c>
      <c r="C3" s="23">
        <v>10</v>
      </c>
      <c r="D3" s="24" t="s">
        <v>64</v>
      </c>
      <c r="E3" s="22" t="s">
        <v>68</v>
      </c>
    </row>
    <row r="4" spans="1:5">
      <c r="A4" s="22" t="s">
        <v>69</v>
      </c>
      <c r="B4" s="19" t="s">
        <v>70</v>
      </c>
      <c r="C4" s="23">
        <v>20</v>
      </c>
      <c r="D4" s="24" t="s">
        <v>64</v>
      </c>
      <c r="E4" s="22" t="s">
        <v>68</v>
      </c>
    </row>
    <row r="5" spans="1:5">
      <c r="A5" s="22"/>
      <c r="B5" s="22"/>
      <c r="C5" s="25"/>
      <c r="D5" s="24"/>
      <c r="E5" s="26"/>
    </row>
    <row r="6" spans="1:5">
      <c r="A6" s="22" t="s">
        <v>71</v>
      </c>
      <c r="B6" s="19" t="s">
        <v>72</v>
      </c>
      <c r="C6" s="25">
        <v>25</v>
      </c>
      <c r="D6" s="24" t="s">
        <v>64</v>
      </c>
      <c r="E6" s="27" t="s">
        <v>73</v>
      </c>
    </row>
    <row r="7" spans="1:5">
      <c r="A7" s="22" t="s">
        <v>74</v>
      </c>
      <c r="B7" s="19" t="s">
        <v>75</v>
      </c>
      <c r="C7" s="25">
        <v>15</v>
      </c>
      <c r="D7" s="24" t="s">
        <v>64</v>
      </c>
      <c r="E7" s="25" t="s">
        <v>76</v>
      </c>
    </row>
    <row r="8" spans="1:5">
      <c r="A8" s="22" t="s">
        <v>77</v>
      </c>
      <c r="B8" s="19" t="s">
        <v>78</v>
      </c>
      <c r="C8" s="25">
        <v>20</v>
      </c>
      <c r="D8" s="24" t="s">
        <v>64</v>
      </c>
      <c r="E8" s="22" t="s">
        <v>65</v>
      </c>
    </row>
    <row r="9" spans="1:5">
      <c r="A9" s="22" t="s">
        <v>79</v>
      </c>
      <c r="B9" s="19" t="s">
        <v>80</v>
      </c>
      <c r="C9" s="25">
        <v>30</v>
      </c>
      <c r="D9" s="24" t="s">
        <v>64</v>
      </c>
      <c r="E9" s="22" t="s">
        <v>81</v>
      </c>
    </row>
    <row r="10" spans="1:5">
      <c r="A10" s="22" t="s">
        <v>82</v>
      </c>
      <c r="B10" s="22" t="s">
        <v>83</v>
      </c>
      <c r="C10" s="25">
        <v>5</v>
      </c>
      <c r="D10" s="24" t="s">
        <v>64</v>
      </c>
      <c r="E10" s="22" t="s">
        <v>81</v>
      </c>
    </row>
    <row r="11" spans="1:5">
      <c r="A11" s="22" t="s">
        <v>84</v>
      </c>
      <c r="B11" s="28" t="s">
        <v>85</v>
      </c>
      <c r="C11" s="25">
        <v>5</v>
      </c>
      <c r="D11" s="24" t="s">
        <v>64</v>
      </c>
      <c r="E11" s="27" t="s">
        <v>73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A18C-D8F6-4192-87E7-9720FA25A54F}">
  <sheetPr>
    <tabColor theme="5" tint="0.59999389629810485"/>
  </sheetPr>
  <dimension ref="A1:S44"/>
  <sheetViews>
    <sheetView workbookViewId="0">
      <selection activeCell="C2" sqref="C2"/>
    </sheetView>
  </sheetViews>
  <sheetFormatPr defaultRowHeight="14.25"/>
  <cols>
    <col min="1" max="1" width="13.125" style="1" customWidth="1"/>
    <col min="2" max="2" width="11.875" style="1" customWidth="1"/>
    <col min="3" max="3" width="19.125" style="1" customWidth="1"/>
    <col min="4" max="4" width="6.75" style="1" customWidth="1"/>
    <col min="5" max="5" width="10" customWidth="1"/>
    <col min="6" max="6" width="10.875" customWidth="1"/>
    <col min="7" max="8" width="6.75" customWidth="1"/>
    <col min="9" max="9" width="8.25" customWidth="1"/>
    <col min="10" max="10" width="13.125" bestFit="1" customWidth="1"/>
    <col min="11" max="11" width="12.625" bestFit="1" customWidth="1"/>
    <col min="14" max="14" width="6.25" customWidth="1"/>
    <col min="19" max="19" width="13.125" customWidth="1"/>
  </cols>
  <sheetData>
    <row r="1" spans="1:19">
      <c r="J1" s="29" t="s">
        <v>64</v>
      </c>
      <c r="K1" s="29" t="s">
        <v>64</v>
      </c>
      <c r="L1" s="29" t="s">
        <v>64</v>
      </c>
      <c r="M1" s="29" t="s">
        <v>64</v>
      </c>
      <c r="N1" s="29"/>
      <c r="O1" s="29"/>
    </row>
    <row r="2" spans="1:19">
      <c r="J2">
        <v>1</v>
      </c>
      <c r="K2">
        <v>1</v>
      </c>
      <c r="L2">
        <v>1</v>
      </c>
      <c r="M2">
        <v>1</v>
      </c>
    </row>
    <row r="3" spans="1:19" ht="15">
      <c r="E3" s="30" t="s">
        <v>86</v>
      </c>
      <c r="F3" s="30"/>
      <c r="G3" s="30"/>
      <c r="H3" s="30"/>
      <c r="I3" s="30"/>
      <c r="J3" s="30" t="s">
        <v>87</v>
      </c>
      <c r="O3" s="54" t="s">
        <v>88</v>
      </c>
      <c r="P3" s="54"/>
      <c r="Q3" s="54"/>
      <c r="R3" s="54"/>
      <c r="S3" s="31" t="s">
        <v>89</v>
      </c>
    </row>
    <row r="4" spans="1:19" ht="99.75">
      <c r="A4" s="2" t="s">
        <v>0</v>
      </c>
      <c r="B4" s="2" t="s">
        <v>1</v>
      </c>
      <c r="C4" s="2" t="s">
        <v>2</v>
      </c>
      <c r="D4" s="2" t="s">
        <v>3</v>
      </c>
      <c r="E4" s="32" t="s">
        <v>90</v>
      </c>
      <c r="F4" s="33" t="s">
        <v>91</v>
      </c>
      <c r="G4" s="34" t="s">
        <v>92</v>
      </c>
      <c r="H4" s="34" t="s">
        <v>93</v>
      </c>
      <c r="I4" s="10"/>
      <c r="J4" s="35" t="s">
        <v>94</v>
      </c>
      <c r="K4" s="36" t="s">
        <v>67</v>
      </c>
      <c r="L4" s="34" t="s">
        <v>92</v>
      </c>
      <c r="M4" s="34" t="s">
        <v>93</v>
      </c>
      <c r="N4" s="37"/>
      <c r="O4" s="38" t="s">
        <v>95</v>
      </c>
      <c r="P4" s="38" t="s">
        <v>93</v>
      </c>
      <c r="Q4" s="34" t="s">
        <v>96</v>
      </c>
      <c r="R4" s="34" t="s">
        <v>97</v>
      </c>
      <c r="S4" s="39" t="s">
        <v>98</v>
      </c>
    </row>
    <row r="5" spans="1:19">
      <c r="A5" s="3" t="s">
        <v>4</v>
      </c>
      <c r="B5" s="3" t="s">
        <v>7</v>
      </c>
      <c r="C5" s="3" t="s">
        <v>7</v>
      </c>
      <c r="D5" s="3">
        <v>69</v>
      </c>
      <c r="E5" s="5">
        <v>1.73</v>
      </c>
      <c r="F5" s="5">
        <v>-0.81</v>
      </c>
      <c r="G5" s="3">
        <v>0</v>
      </c>
      <c r="H5" s="3">
        <v>0</v>
      </c>
      <c r="J5" s="40">
        <f t="shared" ref="J5:J44" si="0">IF($J$2&gt;0,((E5)-(MIN($E$5:$E$44)))/((MAX($E$5:$E$44))-(MIN($E$5:$E$44))),(1-((E5-MIN($E$5:$E$44)))/((MAX($E$5:$E$44))-(MIN($E$5:$E$44)))))</f>
        <v>0.66666666666666663</v>
      </c>
      <c r="K5" s="40">
        <f t="shared" ref="K5:K44" si="1">IF($K$2&gt;0,((F5)-(MIN($F$5:$F$44)))/((MAX($F$5:$F$44))-(MIN($F$5:$F$44))),(1-((F5-MIN($F$5:$F$44)))/((MAX($F$5:$F$44))-(MIN($F$5:$F$44)))))</f>
        <v>0.85205479452054789</v>
      </c>
      <c r="L5" s="40">
        <f t="shared" ref="L5:L44" si="2">IF($L$2&gt;0,((G5)-(MIN($G$5:$G$44)))/((MAX($G$5:$G$44))-(MIN($G$5:$G$44))),(1-((G5-MIN($G$5:$G$44)))/((MAX($G$5:$G$44))-(MIN($G$5:$G$44)))))</f>
        <v>0</v>
      </c>
      <c r="M5" s="40">
        <f t="shared" ref="M5:M44" si="3">IF($M$2&gt;0,((H5)-(MIN($H$5:$H$44)))/((MAX($H$5:$H$44))-(MIN($H$5:$H$44))),(1-((H5-MIN($H$5:$H$44)))/((MAX($H$5:$H$44))-(MIN($H$5:$H$44)))))</f>
        <v>0</v>
      </c>
      <c r="N5" s="41"/>
      <c r="O5" s="5">
        <v>0</v>
      </c>
      <c r="P5" s="5">
        <v>0</v>
      </c>
      <c r="Q5" s="5">
        <f>O5/100*25</f>
        <v>0</v>
      </c>
      <c r="R5" s="5">
        <f>P5/100*75</f>
        <v>0</v>
      </c>
      <c r="S5" s="5">
        <f>SUM(Q5:R5)</f>
        <v>0</v>
      </c>
    </row>
    <row r="6" spans="1:19">
      <c r="A6" s="3" t="s">
        <v>4</v>
      </c>
      <c r="B6" s="3" t="s">
        <v>7</v>
      </c>
      <c r="C6" s="3" t="s">
        <v>14</v>
      </c>
      <c r="D6" s="3">
        <v>70</v>
      </c>
      <c r="E6" s="5">
        <v>1.74</v>
      </c>
      <c r="F6" s="5">
        <v>-0.27</v>
      </c>
      <c r="G6" s="3">
        <v>0</v>
      </c>
      <c r="H6" s="3">
        <v>0</v>
      </c>
      <c r="J6" s="40">
        <f t="shared" si="0"/>
        <v>0.73333333333333328</v>
      </c>
      <c r="K6" s="40">
        <f t="shared" si="1"/>
        <v>1</v>
      </c>
      <c r="L6" s="40">
        <f t="shared" si="2"/>
        <v>0</v>
      </c>
      <c r="M6" s="40">
        <f t="shared" si="3"/>
        <v>0</v>
      </c>
      <c r="N6" s="41"/>
      <c r="O6" s="5">
        <v>0</v>
      </c>
      <c r="P6" s="5">
        <v>0</v>
      </c>
      <c r="Q6" s="5">
        <f t="shared" ref="Q6:Q44" si="4">O6/100*25</f>
        <v>0</v>
      </c>
      <c r="R6" s="5">
        <f t="shared" ref="R6:R44" si="5">P6/100*75</f>
        <v>0</v>
      </c>
      <c r="S6" s="5">
        <f t="shared" ref="S6:S44" si="6">SUM(Q6:R6)</f>
        <v>0</v>
      </c>
    </row>
    <row r="7" spans="1:19">
      <c r="A7" s="3" t="s">
        <v>4</v>
      </c>
      <c r="B7" s="3" t="s">
        <v>7</v>
      </c>
      <c r="C7" s="3" t="s">
        <v>38</v>
      </c>
      <c r="D7" s="3">
        <v>71</v>
      </c>
      <c r="E7" s="5">
        <v>1.73</v>
      </c>
      <c r="F7" s="5">
        <v>-0.99</v>
      </c>
      <c r="G7" s="3">
        <v>2</v>
      </c>
      <c r="H7" s="3">
        <v>1</v>
      </c>
      <c r="J7" s="40">
        <f t="shared" si="0"/>
        <v>0.66666666666666663</v>
      </c>
      <c r="K7" s="40">
        <f t="shared" si="1"/>
        <v>0.80273972602739718</v>
      </c>
      <c r="L7" s="40">
        <f t="shared" si="2"/>
        <v>1</v>
      </c>
      <c r="M7" s="40">
        <f t="shared" si="3"/>
        <v>0.2</v>
      </c>
      <c r="N7" s="41"/>
      <c r="O7" s="5">
        <v>1</v>
      </c>
      <c r="P7" s="5">
        <v>0.2</v>
      </c>
      <c r="Q7" s="5">
        <f t="shared" si="4"/>
        <v>0.25</v>
      </c>
      <c r="R7" s="5">
        <f t="shared" si="5"/>
        <v>0.15</v>
      </c>
      <c r="S7" s="5">
        <f t="shared" si="6"/>
        <v>0.4</v>
      </c>
    </row>
    <row r="8" spans="1:19">
      <c r="A8" s="3" t="s">
        <v>4</v>
      </c>
      <c r="B8" s="3" t="s">
        <v>7</v>
      </c>
      <c r="C8" s="3" t="s">
        <v>8</v>
      </c>
      <c r="D8" s="3">
        <v>72</v>
      </c>
      <c r="E8" s="5">
        <v>1.75</v>
      </c>
      <c r="F8" s="5">
        <v>-0.7</v>
      </c>
      <c r="G8" s="3">
        <v>1</v>
      </c>
      <c r="H8" s="3">
        <v>0</v>
      </c>
      <c r="J8" s="40">
        <f t="shared" si="0"/>
        <v>0.8</v>
      </c>
      <c r="K8" s="40">
        <f t="shared" si="1"/>
        <v>0.88219178082191774</v>
      </c>
      <c r="L8" s="40">
        <f t="shared" si="2"/>
        <v>0.5</v>
      </c>
      <c r="M8" s="40">
        <f t="shared" si="3"/>
        <v>0</v>
      </c>
      <c r="N8" s="41"/>
      <c r="O8" s="5">
        <v>0.5</v>
      </c>
      <c r="P8" s="5">
        <v>0</v>
      </c>
      <c r="Q8" s="5">
        <f t="shared" si="4"/>
        <v>0.125</v>
      </c>
      <c r="R8" s="5">
        <f t="shared" si="5"/>
        <v>0</v>
      </c>
      <c r="S8" s="5">
        <f t="shared" si="6"/>
        <v>0.125</v>
      </c>
    </row>
    <row r="9" spans="1:19">
      <c r="A9" s="3" t="s">
        <v>4</v>
      </c>
      <c r="B9" s="3" t="s">
        <v>7</v>
      </c>
      <c r="C9" s="3" t="s">
        <v>37</v>
      </c>
      <c r="D9" s="3">
        <v>73</v>
      </c>
      <c r="E9" s="5">
        <v>1.75</v>
      </c>
      <c r="F9" s="5">
        <v>-0.76</v>
      </c>
      <c r="G9" s="3">
        <v>1</v>
      </c>
      <c r="H9" s="3">
        <v>0</v>
      </c>
      <c r="J9" s="40">
        <f t="shared" si="0"/>
        <v>0.8</v>
      </c>
      <c r="K9" s="40">
        <f t="shared" si="1"/>
        <v>0.86575342465753435</v>
      </c>
      <c r="L9" s="40">
        <f t="shared" si="2"/>
        <v>0.5</v>
      </c>
      <c r="M9" s="40">
        <f t="shared" si="3"/>
        <v>0</v>
      </c>
      <c r="N9" s="41"/>
      <c r="O9" s="5">
        <v>0.5</v>
      </c>
      <c r="P9" s="5">
        <v>0</v>
      </c>
      <c r="Q9" s="5">
        <f t="shared" si="4"/>
        <v>0.125</v>
      </c>
      <c r="R9" s="5">
        <f t="shared" si="5"/>
        <v>0</v>
      </c>
      <c r="S9" s="5">
        <f t="shared" si="6"/>
        <v>0.125</v>
      </c>
    </row>
    <row r="10" spans="1:19">
      <c r="A10" s="3" t="s">
        <v>4</v>
      </c>
      <c r="B10" s="3" t="s">
        <v>7</v>
      </c>
      <c r="C10" s="3" t="s">
        <v>13</v>
      </c>
      <c r="D10" s="3">
        <v>74</v>
      </c>
      <c r="E10" s="5">
        <v>1.75</v>
      </c>
      <c r="F10" s="5">
        <v>-0.45</v>
      </c>
      <c r="G10" s="3">
        <v>0</v>
      </c>
      <c r="H10" s="3">
        <v>0</v>
      </c>
      <c r="J10" s="40">
        <f t="shared" si="0"/>
        <v>0.8</v>
      </c>
      <c r="K10" s="40">
        <f t="shared" si="1"/>
        <v>0.9506849315068493</v>
      </c>
      <c r="L10" s="40">
        <f t="shared" si="2"/>
        <v>0</v>
      </c>
      <c r="M10" s="40">
        <f t="shared" si="3"/>
        <v>0</v>
      </c>
      <c r="N10" s="41"/>
      <c r="O10" s="5">
        <v>0</v>
      </c>
      <c r="P10" s="5">
        <v>0</v>
      </c>
      <c r="Q10" s="5">
        <f t="shared" si="4"/>
        <v>0</v>
      </c>
      <c r="R10" s="5">
        <f t="shared" si="5"/>
        <v>0</v>
      </c>
      <c r="S10" s="5">
        <f t="shared" si="6"/>
        <v>0</v>
      </c>
    </row>
    <row r="11" spans="1:19">
      <c r="A11" s="3" t="s">
        <v>4</v>
      </c>
      <c r="B11" s="3" t="s">
        <v>7</v>
      </c>
      <c r="C11" s="3" t="s">
        <v>10</v>
      </c>
      <c r="D11" s="3">
        <v>75</v>
      </c>
      <c r="E11" s="5">
        <v>1.73</v>
      </c>
      <c r="F11" s="5">
        <v>-0.78</v>
      </c>
      <c r="G11" s="3">
        <v>0</v>
      </c>
      <c r="H11" s="3">
        <v>0</v>
      </c>
      <c r="J11" s="40">
        <f t="shared" si="0"/>
        <v>0.66666666666666663</v>
      </c>
      <c r="K11" s="40">
        <f t="shared" si="1"/>
        <v>0.86027397260273963</v>
      </c>
      <c r="L11" s="40">
        <f t="shared" si="2"/>
        <v>0</v>
      </c>
      <c r="M11" s="40">
        <f t="shared" si="3"/>
        <v>0</v>
      </c>
      <c r="N11" s="41"/>
      <c r="O11" s="5">
        <v>0</v>
      </c>
      <c r="P11" s="5">
        <v>0</v>
      </c>
      <c r="Q11" s="5">
        <f t="shared" si="4"/>
        <v>0</v>
      </c>
      <c r="R11" s="5">
        <f t="shared" si="5"/>
        <v>0</v>
      </c>
      <c r="S11" s="5">
        <f t="shared" si="6"/>
        <v>0</v>
      </c>
    </row>
    <row r="12" spans="1:19">
      <c r="A12" s="3" t="s">
        <v>4</v>
      </c>
      <c r="B12" s="3" t="s">
        <v>7</v>
      </c>
      <c r="C12" s="3" t="s">
        <v>19</v>
      </c>
      <c r="D12" s="3">
        <v>76</v>
      </c>
      <c r="E12" s="5">
        <v>1.75</v>
      </c>
      <c r="F12" s="5">
        <v>-0.47</v>
      </c>
      <c r="G12" s="3">
        <v>0</v>
      </c>
      <c r="H12" s="3">
        <v>0</v>
      </c>
      <c r="J12" s="40">
        <f t="shared" si="0"/>
        <v>0.8</v>
      </c>
      <c r="K12" s="40">
        <f t="shared" si="1"/>
        <v>0.94520547945205491</v>
      </c>
      <c r="L12" s="40">
        <f t="shared" si="2"/>
        <v>0</v>
      </c>
      <c r="M12" s="40">
        <f t="shared" si="3"/>
        <v>0</v>
      </c>
      <c r="N12" s="41"/>
      <c r="O12" s="5">
        <v>0</v>
      </c>
      <c r="P12" s="5">
        <v>0</v>
      </c>
      <c r="Q12" s="5">
        <f t="shared" si="4"/>
        <v>0</v>
      </c>
      <c r="R12" s="5">
        <f t="shared" si="5"/>
        <v>0</v>
      </c>
      <c r="S12" s="5">
        <f t="shared" si="6"/>
        <v>0</v>
      </c>
    </row>
    <row r="13" spans="1:19">
      <c r="A13" s="3" t="s">
        <v>4</v>
      </c>
      <c r="B13" s="3" t="s">
        <v>7</v>
      </c>
      <c r="C13" s="3" t="s">
        <v>32</v>
      </c>
      <c r="D13" s="3">
        <v>77</v>
      </c>
      <c r="E13" s="5">
        <v>1.75</v>
      </c>
      <c r="F13" s="5">
        <v>-0.42</v>
      </c>
      <c r="G13" s="3">
        <v>0</v>
      </c>
      <c r="H13" s="3">
        <v>0</v>
      </c>
      <c r="J13" s="40">
        <f t="shared" si="0"/>
        <v>0.8</v>
      </c>
      <c r="K13" s="40">
        <f t="shared" si="1"/>
        <v>0.95890410958904115</v>
      </c>
      <c r="L13" s="40">
        <f t="shared" si="2"/>
        <v>0</v>
      </c>
      <c r="M13" s="40">
        <f t="shared" si="3"/>
        <v>0</v>
      </c>
      <c r="N13" s="41"/>
      <c r="O13" s="5">
        <v>0</v>
      </c>
      <c r="P13" s="5">
        <v>0</v>
      </c>
      <c r="Q13" s="5">
        <f t="shared" si="4"/>
        <v>0</v>
      </c>
      <c r="R13" s="5">
        <f t="shared" si="5"/>
        <v>0</v>
      </c>
      <c r="S13" s="5">
        <f t="shared" si="6"/>
        <v>0</v>
      </c>
    </row>
    <row r="14" spans="1:19">
      <c r="A14" s="3" t="s">
        <v>4</v>
      </c>
      <c r="B14" s="3" t="s">
        <v>7</v>
      </c>
      <c r="C14" s="3" t="s">
        <v>21</v>
      </c>
      <c r="D14" s="3">
        <v>78</v>
      </c>
      <c r="E14" s="5">
        <v>1.75</v>
      </c>
      <c r="F14" s="5">
        <v>-0.91</v>
      </c>
      <c r="G14" s="3">
        <v>0</v>
      </c>
      <c r="H14" s="3">
        <v>0</v>
      </c>
      <c r="J14" s="40">
        <f t="shared" si="0"/>
        <v>0.8</v>
      </c>
      <c r="K14" s="40">
        <f t="shared" si="1"/>
        <v>0.82465753424657529</v>
      </c>
      <c r="L14" s="40">
        <f t="shared" si="2"/>
        <v>0</v>
      </c>
      <c r="M14" s="40">
        <f t="shared" si="3"/>
        <v>0</v>
      </c>
      <c r="N14" s="41"/>
      <c r="O14" s="5">
        <v>0</v>
      </c>
      <c r="P14" s="5">
        <v>0</v>
      </c>
      <c r="Q14" s="5">
        <f t="shared" si="4"/>
        <v>0</v>
      </c>
      <c r="R14" s="5">
        <f t="shared" si="5"/>
        <v>0</v>
      </c>
      <c r="S14" s="5">
        <f t="shared" si="6"/>
        <v>0</v>
      </c>
    </row>
    <row r="15" spans="1:19">
      <c r="A15" s="3" t="s">
        <v>4</v>
      </c>
      <c r="B15" s="3" t="s">
        <v>7</v>
      </c>
      <c r="C15" s="3" t="s">
        <v>33</v>
      </c>
      <c r="D15" s="3">
        <v>79</v>
      </c>
      <c r="E15" s="5">
        <v>1.75</v>
      </c>
      <c r="F15" s="5">
        <v>-0.34</v>
      </c>
      <c r="G15" s="3">
        <v>0</v>
      </c>
      <c r="H15" s="3">
        <v>0</v>
      </c>
      <c r="J15" s="40">
        <f t="shared" si="0"/>
        <v>0.8</v>
      </c>
      <c r="K15" s="40">
        <f t="shared" si="1"/>
        <v>0.98082191780821926</v>
      </c>
      <c r="L15" s="40">
        <f t="shared" si="2"/>
        <v>0</v>
      </c>
      <c r="M15" s="40">
        <f t="shared" si="3"/>
        <v>0</v>
      </c>
      <c r="N15" s="41"/>
      <c r="O15" s="5">
        <v>0</v>
      </c>
      <c r="P15" s="5">
        <v>0</v>
      </c>
      <c r="Q15" s="5">
        <f t="shared" si="4"/>
        <v>0</v>
      </c>
      <c r="R15" s="5">
        <f t="shared" si="5"/>
        <v>0</v>
      </c>
      <c r="S15" s="5">
        <f t="shared" si="6"/>
        <v>0</v>
      </c>
    </row>
    <row r="16" spans="1:19">
      <c r="A16" s="3" t="s">
        <v>4</v>
      </c>
      <c r="B16" s="3" t="s">
        <v>7</v>
      </c>
      <c r="C16" s="3" t="s">
        <v>44</v>
      </c>
      <c r="D16" s="3">
        <v>80</v>
      </c>
      <c r="E16" s="5">
        <v>1.75</v>
      </c>
      <c r="F16" s="5">
        <v>-0.38</v>
      </c>
      <c r="G16" s="3">
        <v>0</v>
      </c>
      <c r="H16" s="3">
        <v>0</v>
      </c>
      <c r="J16" s="40">
        <f t="shared" si="0"/>
        <v>0.8</v>
      </c>
      <c r="K16" s="40">
        <f t="shared" si="1"/>
        <v>0.96986301369863015</v>
      </c>
      <c r="L16" s="40">
        <f t="shared" si="2"/>
        <v>0</v>
      </c>
      <c r="M16" s="40">
        <f t="shared" si="3"/>
        <v>0</v>
      </c>
      <c r="N16" s="41"/>
      <c r="O16" s="5">
        <v>0</v>
      </c>
      <c r="P16" s="5">
        <v>0</v>
      </c>
      <c r="Q16" s="5">
        <f t="shared" si="4"/>
        <v>0</v>
      </c>
      <c r="R16" s="5">
        <f t="shared" si="5"/>
        <v>0</v>
      </c>
      <c r="S16" s="5">
        <f t="shared" si="6"/>
        <v>0</v>
      </c>
    </row>
    <row r="17" spans="1:19">
      <c r="A17" s="3" t="s">
        <v>4</v>
      </c>
      <c r="B17" s="3" t="s">
        <v>7</v>
      </c>
      <c r="C17" s="3" t="s">
        <v>40</v>
      </c>
      <c r="D17" s="3">
        <v>81</v>
      </c>
      <c r="E17" s="5">
        <v>1.74</v>
      </c>
      <c r="F17" s="5">
        <v>-0.32</v>
      </c>
      <c r="G17" s="3">
        <v>0</v>
      </c>
      <c r="H17" s="3">
        <v>0</v>
      </c>
      <c r="J17" s="40">
        <f t="shared" si="0"/>
        <v>0.73333333333333328</v>
      </c>
      <c r="K17" s="40">
        <f t="shared" si="1"/>
        <v>0.98630136986301375</v>
      </c>
      <c r="L17" s="40">
        <f t="shared" si="2"/>
        <v>0</v>
      </c>
      <c r="M17" s="40">
        <f t="shared" si="3"/>
        <v>0</v>
      </c>
      <c r="N17" s="41"/>
      <c r="O17" s="5">
        <v>0</v>
      </c>
      <c r="P17" s="5">
        <v>0</v>
      </c>
      <c r="Q17" s="5">
        <f t="shared" si="4"/>
        <v>0</v>
      </c>
      <c r="R17" s="5">
        <f t="shared" si="5"/>
        <v>0</v>
      </c>
      <c r="S17" s="5">
        <f t="shared" si="6"/>
        <v>0</v>
      </c>
    </row>
    <row r="18" spans="1:19">
      <c r="A18" s="3" t="s">
        <v>4</v>
      </c>
      <c r="B18" s="3" t="s">
        <v>11</v>
      </c>
      <c r="C18" s="3" t="s">
        <v>16</v>
      </c>
      <c r="D18" s="3">
        <v>100</v>
      </c>
      <c r="E18" s="5">
        <v>1.67</v>
      </c>
      <c r="F18" s="5">
        <v>-1.47</v>
      </c>
      <c r="G18" s="3">
        <v>0</v>
      </c>
      <c r="H18" s="3">
        <v>3</v>
      </c>
      <c r="J18" s="40">
        <f t="shared" si="0"/>
        <v>0.26666666666666666</v>
      </c>
      <c r="K18" s="40">
        <f t="shared" si="1"/>
        <v>0.67123287671232879</v>
      </c>
      <c r="L18" s="40">
        <f t="shared" si="2"/>
        <v>0</v>
      </c>
      <c r="M18" s="40">
        <f t="shared" si="3"/>
        <v>0.6</v>
      </c>
      <c r="N18" s="41"/>
      <c r="O18" s="5">
        <v>0</v>
      </c>
      <c r="P18" s="5">
        <v>0.6</v>
      </c>
      <c r="Q18" s="5">
        <f t="shared" si="4"/>
        <v>0</v>
      </c>
      <c r="R18" s="5">
        <f t="shared" si="5"/>
        <v>0.45</v>
      </c>
      <c r="S18" s="5">
        <f t="shared" si="6"/>
        <v>0.45</v>
      </c>
    </row>
    <row r="19" spans="1:19">
      <c r="A19" s="3" t="s">
        <v>4</v>
      </c>
      <c r="B19" s="3" t="s">
        <v>11</v>
      </c>
      <c r="C19" s="3" t="s">
        <v>26</v>
      </c>
      <c r="D19" s="3">
        <v>101</v>
      </c>
      <c r="E19" s="5">
        <v>1.74</v>
      </c>
      <c r="F19" s="5">
        <v>-1.18</v>
      </c>
      <c r="G19" s="3">
        <v>0</v>
      </c>
      <c r="H19" s="3">
        <v>0</v>
      </c>
      <c r="J19" s="40">
        <f t="shared" si="0"/>
        <v>0.73333333333333328</v>
      </c>
      <c r="K19" s="40">
        <f t="shared" si="1"/>
        <v>0.75068493150684934</v>
      </c>
      <c r="L19" s="40">
        <f t="shared" si="2"/>
        <v>0</v>
      </c>
      <c r="M19" s="40">
        <f t="shared" si="3"/>
        <v>0</v>
      </c>
      <c r="N19" s="41"/>
      <c r="O19" s="5">
        <v>0</v>
      </c>
      <c r="P19" s="5">
        <v>0</v>
      </c>
      <c r="Q19" s="5">
        <f t="shared" si="4"/>
        <v>0</v>
      </c>
      <c r="R19" s="5">
        <f t="shared" si="5"/>
        <v>0</v>
      </c>
      <c r="S19" s="5">
        <f t="shared" si="6"/>
        <v>0</v>
      </c>
    </row>
    <row r="20" spans="1:19">
      <c r="A20" s="3" t="s">
        <v>4</v>
      </c>
      <c r="B20" s="3" t="s">
        <v>11</v>
      </c>
      <c r="C20" s="3" t="s">
        <v>27</v>
      </c>
      <c r="D20" s="3">
        <v>102</v>
      </c>
      <c r="E20" s="5">
        <v>1.65</v>
      </c>
      <c r="F20" s="5">
        <v>-2.8</v>
      </c>
      <c r="G20" s="3">
        <v>1</v>
      </c>
      <c r="H20" s="3">
        <v>5</v>
      </c>
      <c r="J20" s="40">
        <f t="shared" si="0"/>
        <v>0.13333333333333333</v>
      </c>
      <c r="K20" s="40">
        <f t="shared" si="1"/>
        <v>0.30684931506849317</v>
      </c>
      <c r="L20" s="40">
        <f t="shared" si="2"/>
        <v>0.5</v>
      </c>
      <c r="M20" s="40">
        <f t="shared" si="3"/>
        <v>1</v>
      </c>
      <c r="N20" s="41"/>
      <c r="O20" s="5">
        <v>0.5</v>
      </c>
      <c r="P20" s="5">
        <v>1</v>
      </c>
      <c r="Q20" s="5">
        <f t="shared" si="4"/>
        <v>0.125</v>
      </c>
      <c r="R20" s="5">
        <f t="shared" si="5"/>
        <v>0.75</v>
      </c>
      <c r="S20" s="5">
        <f t="shared" si="6"/>
        <v>0.875</v>
      </c>
    </row>
    <row r="21" spans="1:19">
      <c r="A21" s="3" t="s">
        <v>4</v>
      </c>
      <c r="B21" s="3" t="s">
        <v>11</v>
      </c>
      <c r="C21" s="3" t="s">
        <v>35</v>
      </c>
      <c r="D21" s="3">
        <v>103</v>
      </c>
      <c r="E21" s="5">
        <v>1.72</v>
      </c>
      <c r="F21" s="5">
        <v>-1.1499999999999999</v>
      </c>
      <c r="G21" s="3">
        <v>2</v>
      </c>
      <c r="H21" s="3">
        <v>1</v>
      </c>
      <c r="J21" s="40">
        <f t="shared" si="0"/>
        <v>0.6</v>
      </c>
      <c r="K21" s="40">
        <f t="shared" si="1"/>
        <v>0.75890410958904109</v>
      </c>
      <c r="L21" s="40">
        <f t="shared" si="2"/>
        <v>1</v>
      </c>
      <c r="M21" s="40">
        <f t="shared" si="3"/>
        <v>0.2</v>
      </c>
      <c r="N21" s="41"/>
      <c r="O21" s="5">
        <v>1</v>
      </c>
      <c r="P21" s="5">
        <v>0.2</v>
      </c>
      <c r="Q21" s="5">
        <f t="shared" si="4"/>
        <v>0.25</v>
      </c>
      <c r="R21" s="5">
        <f t="shared" si="5"/>
        <v>0.15</v>
      </c>
      <c r="S21" s="5">
        <f t="shared" si="6"/>
        <v>0.4</v>
      </c>
    </row>
    <row r="22" spans="1:19">
      <c r="A22" s="3" t="s">
        <v>4</v>
      </c>
      <c r="B22" s="3" t="s">
        <v>11</v>
      </c>
      <c r="C22" s="3" t="s">
        <v>11</v>
      </c>
      <c r="D22" s="3">
        <v>104</v>
      </c>
      <c r="E22" s="5">
        <v>1.7</v>
      </c>
      <c r="F22" s="5">
        <v>-2.04</v>
      </c>
      <c r="G22" s="3">
        <v>0</v>
      </c>
      <c r="H22" s="3">
        <v>3</v>
      </c>
      <c r="J22" s="40">
        <f t="shared" si="0"/>
        <v>0.46666666666666667</v>
      </c>
      <c r="K22" s="40">
        <f t="shared" si="1"/>
        <v>0.51506849315068493</v>
      </c>
      <c r="L22" s="40">
        <f t="shared" si="2"/>
        <v>0</v>
      </c>
      <c r="M22" s="40">
        <f t="shared" si="3"/>
        <v>0.6</v>
      </c>
      <c r="N22" s="41"/>
      <c r="O22" s="5">
        <v>0</v>
      </c>
      <c r="P22" s="5">
        <v>0.6</v>
      </c>
      <c r="Q22" s="5">
        <f t="shared" si="4"/>
        <v>0</v>
      </c>
      <c r="R22" s="5">
        <f t="shared" si="5"/>
        <v>0.45</v>
      </c>
      <c r="S22" s="5">
        <f t="shared" si="6"/>
        <v>0.45</v>
      </c>
    </row>
    <row r="23" spans="1:19">
      <c r="A23" s="3" t="s">
        <v>4</v>
      </c>
      <c r="B23" s="3" t="s">
        <v>11</v>
      </c>
      <c r="C23" s="3" t="s">
        <v>24</v>
      </c>
      <c r="D23" s="3">
        <v>105</v>
      </c>
      <c r="E23" s="5">
        <v>1.72</v>
      </c>
      <c r="F23" s="5">
        <v>-2.5499999999999998</v>
      </c>
      <c r="G23" s="3">
        <v>2</v>
      </c>
      <c r="H23" s="3">
        <v>0</v>
      </c>
      <c r="J23" s="40">
        <f t="shared" si="0"/>
        <v>0.6</v>
      </c>
      <c r="K23" s="40">
        <f t="shared" si="1"/>
        <v>0.37534246575342467</v>
      </c>
      <c r="L23" s="40">
        <f t="shared" si="2"/>
        <v>1</v>
      </c>
      <c r="M23" s="40">
        <f t="shared" si="3"/>
        <v>0</v>
      </c>
      <c r="N23" s="41"/>
      <c r="O23" s="5">
        <v>1</v>
      </c>
      <c r="P23" s="5">
        <v>0</v>
      </c>
      <c r="Q23" s="5">
        <f t="shared" si="4"/>
        <v>0.25</v>
      </c>
      <c r="R23" s="5">
        <f t="shared" si="5"/>
        <v>0</v>
      </c>
      <c r="S23" s="5">
        <f t="shared" si="6"/>
        <v>0.25</v>
      </c>
    </row>
    <row r="24" spans="1:19">
      <c r="A24" s="3" t="s">
        <v>4</v>
      </c>
      <c r="B24" s="3" t="s">
        <v>11</v>
      </c>
      <c r="C24" s="3" t="s">
        <v>20</v>
      </c>
      <c r="D24" s="3">
        <v>106</v>
      </c>
      <c r="E24" s="5">
        <v>1.68</v>
      </c>
      <c r="F24" s="5">
        <v>-3.81</v>
      </c>
      <c r="G24" s="3">
        <v>1</v>
      </c>
      <c r="H24" s="3">
        <v>5</v>
      </c>
      <c r="J24" s="40">
        <f t="shared" si="0"/>
        <v>0.33333333333333331</v>
      </c>
      <c r="K24" s="40">
        <f t="shared" si="1"/>
        <v>3.0136986301369829E-2</v>
      </c>
      <c r="L24" s="40">
        <f t="shared" si="2"/>
        <v>0.5</v>
      </c>
      <c r="M24" s="40">
        <f t="shared" si="3"/>
        <v>1</v>
      </c>
      <c r="N24" s="41"/>
      <c r="O24" s="5">
        <v>0.5</v>
      </c>
      <c r="P24" s="5">
        <v>1</v>
      </c>
      <c r="Q24" s="5">
        <f t="shared" si="4"/>
        <v>0.125</v>
      </c>
      <c r="R24" s="5">
        <f t="shared" si="5"/>
        <v>0.75</v>
      </c>
      <c r="S24" s="5">
        <f t="shared" si="6"/>
        <v>0.875</v>
      </c>
    </row>
    <row r="25" spans="1:19">
      <c r="A25" s="3" t="s">
        <v>4</v>
      </c>
      <c r="B25" s="3" t="s">
        <v>11</v>
      </c>
      <c r="C25" s="3" t="s">
        <v>23</v>
      </c>
      <c r="D25" s="3">
        <v>107</v>
      </c>
      <c r="E25" s="5">
        <v>1.73</v>
      </c>
      <c r="F25" s="5">
        <v>-1.17</v>
      </c>
      <c r="G25" s="3">
        <v>1</v>
      </c>
      <c r="H25" s="3">
        <v>0</v>
      </c>
      <c r="J25" s="40">
        <f t="shared" si="0"/>
        <v>0.66666666666666663</v>
      </c>
      <c r="K25" s="40">
        <f t="shared" si="1"/>
        <v>0.75342465753424659</v>
      </c>
      <c r="L25" s="40">
        <f t="shared" si="2"/>
        <v>0.5</v>
      </c>
      <c r="M25" s="40">
        <f t="shared" si="3"/>
        <v>0</v>
      </c>
      <c r="N25" s="41"/>
      <c r="O25" s="5">
        <v>0.5</v>
      </c>
      <c r="P25" s="5">
        <v>0</v>
      </c>
      <c r="Q25" s="5">
        <f t="shared" si="4"/>
        <v>0.125</v>
      </c>
      <c r="R25" s="5">
        <f t="shared" si="5"/>
        <v>0</v>
      </c>
      <c r="S25" s="5">
        <f t="shared" si="6"/>
        <v>0.125</v>
      </c>
    </row>
    <row r="26" spans="1:19">
      <c r="A26" s="3" t="s">
        <v>4</v>
      </c>
      <c r="B26" s="3" t="s">
        <v>11</v>
      </c>
      <c r="C26" s="3" t="s">
        <v>36</v>
      </c>
      <c r="D26" s="3">
        <v>108</v>
      </c>
      <c r="E26" s="5">
        <v>1.72</v>
      </c>
      <c r="F26" s="5">
        <v>-1.52</v>
      </c>
      <c r="G26" s="3">
        <v>0</v>
      </c>
      <c r="H26" s="3">
        <v>4</v>
      </c>
      <c r="J26" s="40">
        <f t="shared" si="0"/>
        <v>0.6</v>
      </c>
      <c r="K26" s="40">
        <f t="shared" si="1"/>
        <v>0.65753424657534243</v>
      </c>
      <c r="L26" s="40">
        <f t="shared" si="2"/>
        <v>0</v>
      </c>
      <c r="M26" s="40">
        <f t="shared" si="3"/>
        <v>0.8</v>
      </c>
      <c r="N26" s="41"/>
      <c r="O26" s="5">
        <v>0</v>
      </c>
      <c r="P26" s="5">
        <v>0.8</v>
      </c>
      <c r="Q26" s="5">
        <f t="shared" si="4"/>
        <v>0</v>
      </c>
      <c r="R26" s="5">
        <f t="shared" si="5"/>
        <v>0.6</v>
      </c>
      <c r="S26" s="5">
        <f t="shared" si="6"/>
        <v>0.6</v>
      </c>
    </row>
    <row r="27" spans="1:19">
      <c r="A27" s="3" t="s">
        <v>4</v>
      </c>
      <c r="B27" s="3" t="s">
        <v>11</v>
      </c>
      <c r="C27" s="3" t="s">
        <v>12</v>
      </c>
      <c r="D27" s="3">
        <v>109</v>
      </c>
      <c r="E27" s="5">
        <v>1.66</v>
      </c>
      <c r="F27" s="5">
        <v>-2.83</v>
      </c>
      <c r="G27" s="3">
        <v>1</v>
      </c>
      <c r="H27" s="3">
        <v>3</v>
      </c>
      <c r="J27" s="40">
        <f t="shared" si="0"/>
        <v>0.2</v>
      </c>
      <c r="K27" s="40">
        <f t="shared" si="1"/>
        <v>0.29863013698630136</v>
      </c>
      <c r="L27" s="40">
        <f t="shared" si="2"/>
        <v>0.5</v>
      </c>
      <c r="M27" s="40">
        <f t="shared" si="3"/>
        <v>0.6</v>
      </c>
      <c r="N27" s="41"/>
      <c r="O27" s="5">
        <v>0.5</v>
      </c>
      <c r="P27" s="5">
        <v>0.6</v>
      </c>
      <c r="Q27" s="5">
        <f t="shared" si="4"/>
        <v>0.125</v>
      </c>
      <c r="R27" s="5">
        <f t="shared" si="5"/>
        <v>0.45</v>
      </c>
      <c r="S27" s="5">
        <f t="shared" si="6"/>
        <v>0.57499999999999996</v>
      </c>
    </row>
    <row r="28" spans="1:19">
      <c r="A28" s="3" t="s">
        <v>4</v>
      </c>
      <c r="B28" s="3" t="s">
        <v>11</v>
      </c>
      <c r="C28" s="3" t="s">
        <v>15</v>
      </c>
      <c r="D28" s="3">
        <v>110</v>
      </c>
      <c r="E28" s="5">
        <v>1.68</v>
      </c>
      <c r="F28" s="5">
        <v>-1.51</v>
      </c>
      <c r="G28" s="3">
        <v>0</v>
      </c>
      <c r="H28" s="3">
        <v>4</v>
      </c>
      <c r="J28" s="40">
        <f t="shared" si="0"/>
        <v>0.33333333333333331</v>
      </c>
      <c r="K28" s="40">
        <f t="shared" si="1"/>
        <v>0.66027397260273979</v>
      </c>
      <c r="L28" s="40">
        <f t="shared" si="2"/>
        <v>0</v>
      </c>
      <c r="M28" s="40">
        <f t="shared" si="3"/>
        <v>0.8</v>
      </c>
      <c r="N28" s="41"/>
      <c r="O28" s="5">
        <v>0</v>
      </c>
      <c r="P28" s="5">
        <v>0.8</v>
      </c>
      <c r="Q28" s="5">
        <f t="shared" si="4"/>
        <v>0</v>
      </c>
      <c r="R28" s="5">
        <f t="shared" si="5"/>
        <v>0.6</v>
      </c>
      <c r="S28" s="5">
        <f t="shared" si="6"/>
        <v>0.6</v>
      </c>
    </row>
    <row r="29" spans="1:19">
      <c r="A29" s="3" t="s">
        <v>4</v>
      </c>
      <c r="B29" s="3" t="s">
        <v>11</v>
      </c>
      <c r="C29" s="3" t="s">
        <v>43</v>
      </c>
      <c r="D29" s="3">
        <v>111</v>
      </c>
      <c r="E29" s="5">
        <v>1.68</v>
      </c>
      <c r="F29" s="5">
        <v>-3.92</v>
      </c>
      <c r="G29" s="3">
        <v>1</v>
      </c>
      <c r="H29" s="3">
        <v>0</v>
      </c>
      <c r="J29" s="40">
        <f t="shared" si="0"/>
        <v>0.33333333333333331</v>
      </c>
      <c r="K29" s="40">
        <f t="shared" si="1"/>
        <v>0</v>
      </c>
      <c r="L29" s="40">
        <f t="shared" si="2"/>
        <v>0.5</v>
      </c>
      <c r="M29" s="40">
        <f t="shared" si="3"/>
        <v>0</v>
      </c>
      <c r="N29" s="41"/>
      <c r="O29" s="5">
        <v>0.5</v>
      </c>
      <c r="P29" s="5">
        <v>0</v>
      </c>
      <c r="Q29" s="5">
        <f t="shared" si="4"/>
        <v>0.125</v>
      </c>
      <c r="R29" s="5">
        <f t="shared" si="5"/>
        <v>0</v>
      </c>
      <c r="S29" s="5">
        <f t="shared" si="6"/>
        <v>0.125</v>
      </c>
    </row>
    <row r="30" spans="1:19">
      <c r="A30" s="3" t="s">
        <v>4</v>
      </c>
      <c r="B30" s="3" t="s">
        <v>11</v>
      </c>
      <c r="C30" s="3" t="s">
        <v>22</v>
      </c>
      <c r="D30" s="3">
        <v>112</v>
      </c>
      <c r="E30" s="5">
        <v>1.73</v>
      </c>
      <c r="F30" s="5">
        <v>-2.0699999999999998</v>
      </c>
      <c r="G30" s="3">
        <v>0</v>
      </c>
      <c r="H30" s="3">
        <v>0</v>
      </c>
      <c r="J30" s="40">
        <f t="shared" si="0"/>
        <v>0.66666666666666663</v>
      </c>
      <c r="K30" s="40">
        <f t="shared" si="1"/>
        <v>0.50684931506849318</v>
      </c>
      <c r="L30" s="40">
        <f t="shared" si="2"/>
        <v>0</v>
      </c>
      <c r="M30" s="40">
        <f t="shared" si="3"/>
        <v>0</v>
      </c>
      <c r="N30" s="41"/>
      <c r="O30" s="5">
        <v>0</v>
      </c>
      <c r="P30" s="5">
        <v>0</v>
      </c>
      <c r="Q30" s="5">
        <f t="shared" si="4"/>
        <v>0</v>
      </c>
      <c r="R30" s="5">
        <f t="shared" si="5"/>
        <v>0</v>
      </c>
      <c r="S30" s="5">
        <f t="shared" si="6"/>
        <v>0</v>
      </c>
    </row>
    <row r="31" spans="1:19">
      <c r="A31" s="3" t="s">
        <v>4</v>
      </c>
      <c r="B31" s="3" t="s">
        <v>5</v>
      </c>
      <c r="C31" s="3" t="s">
        <v>6</v>
      </c>
      <c r="D31" s="3">
        <v>139</v>
      </c>
      <c r="E31" s="5">
        <v>1.67</v>
      </c>
      <c r="F31" s="5">
        <v>-0.69</v>
      </c>
      <c r="G31" s="3">
        <v>1</v>
      </c>
      <c r="H31" s="3">
        <v>1</v>
      </c>
      <c r="J31" s="40">
        <f t="shared" si="0"/>
        <v>0.26666666666666666</v>
      </c>
      <c r="K31" s="40">
        <f t="shared" si="1"/>
        <v>0.8849315068493151</v>
      </c>
      <c r="L31" s="40">
        <f t="shared" si="2"/>
        <v>0.5</v>
      </c>
      <c r="M31" s="40">
        <f t="shared" si="3"/>
        <v>0.2</v>
      </c>
      <c r="N31" s="41"/>
      <c r="O31" s="5">
        <v>0.5</v>
      </c>
      <c r="P31" s="5">
        <v>0.2</v>
      </c>
      <c r="Q31" s="5">
        <f t="shared" si="4"/>
        <v>0.125</v>
      </c>
      <c r="R31" s="5">
        <f t="shared" si="5"/>
        <v>0.15</v>
      </c>
      <c r="S31" s="5">
        <f t="shared" si="6"/>
        <v>0.27500000000000002</v>
      </c>
    </row>
    <row r="32" spans="1:19">
      <c r="A32" s="3" t="s">
        <v>4</v>
      </c>
      <c r="B32" s="3" t="s">
        <v>5</v>
      </c>
      <c r="C32" s="3" t="s">
        <v>25</v>
      </c>
      <c r="D32" s="3">
        <v>140</v>
      </c>
      <c r="E32" s="5">
        <v>1.75</v>
      </c>
      <c r="F32" s="5">
        <v>-0.62</v>
      </c>
      <c r="G32" s="3">
        <v>0</v>
      </c>
      <c r="H32" s="3">
        <v>0</v>
      </c>
      <c r="J32" s="40">
        <f t="shared" si="0"/>
        <v>0.8</v>
      </c>
      <c r="K32" s="40">
        <f t="shared" si="1"/>
        <v>0.90410958904109584</v>
      </c>
      <c r="L32" s="40">
        <f t="shared" si="2"/>
        <v>0</v>
      </c>
      <c r="M32" s="40">
        <f t="shared" si="3"/>
        <v>0</v>
      </c>
      <c r="N32" s="41"/>
      <c r="O32" s="5">
        <v>0</v>
      </c>
      <c r="P32" s="5">
        <v>0</v>
      </c>
      <c r="Q32" s="5">
        <f t="shared" si="4"/>
        <v>0</v>
      </c>
      <c r="R32" s="5">
        <f t="shared" si="5"/>
        <v>0</v>
      </c>
      <c r="S32" s="5">
        <f t="shared" si="6"/>
        <v>0</v>
      </c>
    </row>
    <row r="33" spans="1:19">
      <c r="A33" s="3" t="s">
        <v>4</v>
      </c>
      <c r="B33" s="3" t="s">
        <v>5</v>
      </c>
      <c r="C33" s="3" t="s">
        <v>28</v>
      </c>
      <c r="D33" s="3">
        <v>141</v>
      </c>
      <c r="E33" s="5">
        <v>1.74</v>
      </c>
      <c r="F33" s="5">
        <v>-0.76</v>
      </c>
      <c r="G33" s="3">
        <v>1</v>
      </c>
      <c r="H33" s="3">
        <v>3</v>
      </c>
      <c r="J33" s="40">
        <f t="shared" si="0"/>
        <v>0.73333333333333328</v>
      </c>
      <c r="K33" s="40">
        <f t="shared" si="1"/>
        <v>0.86575342465753435</v>
      </c>
      <c r="L33" s="40">
        <f t="shared" si="2"/>
        <v>0.5</v>
      </c>
      <c r="M33" s="40">
        <f t="shared" si="3"/>
        <v>0.6</v>
      </c>
      <c r="N33" s="41"/>
      <c r="O33" s="5">
        <v>0.5</v>
      </c>
      <c r="P33" s="5">
        <v>0.6</v>
      </c>
      <c r="Q33" s="5">
        <f t="shared" si="4"/>
        <v>0.125</v>
      </c>
      <c r="R33" s="5">
        <f t="shared" si="5"/>
        <v>0.45</v>
      </c>
      <c r="S33" s="5">
        <f t="shared" si="6"/>
        <v>0.57499999999999996</v>
      </c>
    </row>
    <row r="34" spans="1:19">
      <c r="A34" s="3" t="s">
        <v>4</v>
      </c>
      <c r="B34" s="3" t="s">
        <v>5</v>
      </c>
      <c r="C34" s="3" t="s">
        <v>9</v>
      </c>
      <c r="D34" s="3">
        <v>142</v>
      </c>
      <c r="E34" s="5">
        <v>1.69</v>
      </c>
      <c r="F34" s="5">
        <v>-0.93</v>
      </c>
      <c r="G34" s="3">
        <v>1</v>
      </c>
      <c r="H34" s="3">
        <v>1</v>
      </c>
      <c r="J34" s="40">
        <f t="shared" si="0"/>
        <v>0.4</v>
      </c>
      <c r="K34" s="40">
        <f t="shared" si="1"/>
        <v>0.81917808219178079</v>
      </c>
      <c r="L34" s="40">
        <f t="shared" si="2"/>
        <v>0.5</v>
      </c>
      <c r="M34" s="40">
        <f t="shared" si="3"/>
        <v>0.2</v>
      </c>
      <c r="N34" s="41"/>
      <c r="O34" s="5">
        <v>0.5</v>
      </c>
      <c r="P34" s="5">
        <v>0.2</v>
      </c>
      <c r="Q34" s="5">
        <f t="shared" si="4"/>
        <v>0.125</v>
      </c>
      <c r="R34" s="5">
        <f t="shared" si="5"/>
        <v>0.15</v>
      </c>
      <c r="S34" s="5">
        <f t="shared" si="6"/>
        <v>0.27500000000000002</v>
      </c>
    </row>
    <row r="35" spans="1:19">
      <c r="A35" s="3" t="s">
        <v>4</v>
      </c>
      <c r="B35" s="3" t="s">
        <v>5</v>
      </c>
      <c r="C35" s="3" t="s">
        <v>29</v>
      </c>
      <c r="D35" s="3">
        <v>143</v>
      </c>
      <c r="E35" s="5">
        <v>1.75</v>
      </c>
      <c r="F35" s="5">
        <v>-0.77</v>
      </c>
      <c r="G35" s="3">
        <v>2</v>
      </c>
      <c r="H35" s="3">
        <v>4</v>
      </c>
      <c r="J35" s="40">
        <f t="shared" si="0"/>
        <v>0.8</v>
      </c>
      <c r="K35" s="40">
        <f t="shared" si="1"/>
        <v>0.86301369863013699</v>
      </c>
      <c r="L35" s="40">
        <f t="shared" si="2"/>
        <v>1</v>
      </c>
      <c r="M35" s="40">
        <f t="shared" si="3"/>
        <v>0.8</v>
      </c>
      <c r="N35" s="41"/>
      <c r="O35" s="5">
        <v>1</v>
      </c>
      <c r="P35" s="5">
        <v>0.8</v>
      </c>
      <c r="Q35" s="5">
        <f t="shared" si="4"/>
        <v>0.25</v>
      </c>
      <c r="R35" s="5">
        <f t="shared" si="5"/>
        <v>0.6</v>
      </c>
      <c r="S35" s="5">
        <f t="shared" si="6"/>
        <v>0.85</v>
      </c>
    </row>
    <row r="36" spans="1:19">
      <c r="A36" s="3" t="s">
        <v>4</v>
      </c>
      <c r="B36" s="3" t="s">
        <v>5</v>
      </c>
      <c r="C36" s="3" t="s">
        <v>17</v>
      </c>
      <c r="D36" s="3">
        <v>144</v>
      </c>
      <c r="E36" s="5">
        <v>1.78</v>
      </c>
      <c r="F36" s="5">
        <v>-0.76</v>
      </c>
      <c r="G36" s="3">
        <v>0</v>
      </c>
      <c r="H36" s="3">
        <v>2</v>
      </c>
      <c r="J36" s="40">
        <f t="shared" si="0"/>
        <v>1</v>
      </c>
      <c r="K36" s="40">
        <f t="shared" si="1"/>
        <v>0.86575342465753435</v>
      </c>
      <c r="L36" s="40">
        <f t="shared" si="2"/>
        <v>0</v>
      </c>
      <c r="M36" s="40">
        <f t="shared" si="3"/>
        <v>0.4</v>
      </c>
      <c r="N36" s="41"/>
      <c r="O36" s="5">
        <v>0</v>
      </c>
      <c r="P36" s="5">
        <v>0.4</v>
      </c>
      <c r="Q36" s="5">
        <f t="shared" si="4"/>
        <v>0</v>
      </c>
      <c r="R36" s="5">
        <f t="shared" si="5"/>
        <v>0.3</v>
      </c>
      <c r="S36" s="5">
        <f t="shared" si="6"/>
        <v>0.3</v>
      </c>
    </row>
    <row r="37" spans="1:19">
      <c r="A37" s="3" t="s">
        <v>4</v>
      </c>
      <c r="B37" s="3" t="s">
        <v>5</v>
      </c>
      <c r="C37" s="3" t="s">
        <v>39</v>
      </c>
      <c r="D37" s="3">
        <v>145</v>
      </c>
      <c r="E37" s="5">
        <v>1.78</v>
      </c>
      <c r="F37" s="5">
        <v>-0.95</v>
      </c>
      <c r="G37" s="3">
        <v>0</v>
      </c>
      <c r="H37" s="3">
        <v>1</v>
      </c>
      <c r="J37" s="40">
        <f t="shared" si="0"/>
        <v>1</v>
      </c>
      <c r="K37" s="40">
        <f t="shared" si="1"/>
        <v>0.81369863013698629</v>
      </c>
      <c r="L37" s="40">
        <f t="shared" si="2"/>
        <v>0</v>
      </c>
      <c r="M37" s="40">
        <f t="shared" si="3"/>
        <v>0.2</v>
      </c>
      <c r="N37" s="41"/>
      <c r="O37" s="5">
        <v>0</v>
      </c>
      <c r="P37" s="5">
        <v>0.2</v>
      </c>
      <c r="Q37" s="5">
        <f t="shared" si="4"/>
        <v>0</v>
      </c>
      <c r="R37" s="5">
        <f t="shared" si="5"/>
        <v>0.15</v>
      </c>
      <c r="S37" s="5">
        <f t="shared" si="6"/>
        <v>0.15</v>
      </c>
    </row>
    <row r="38" spans="1:19">
      <c r="A38" s="3" t="s">
        <v>4</v>
      </c>
      <c r="B38" s="3" t="s">
        <v>5</v>
      </c>
      <c r="C38" s="3" t="s">
        <v>5</v>
      </c>
      <c r="D38" s="3">
        <v>146</v>
      </c>
      <c r="E38" s="5">
        <v>1.77</v>
      </c>
      <c r="F38" s="5">
        <v>-0.71</v>
      </c>
      <c r="G38" s="3">
        <v>1</v>
      </c>
      <c r="H38" s="3">
        <v>3</v>
      </c>
      <c r="J38" s="40">
        <f t="shared" si="0"/>
        <v>0.93333333333333335</v>
      </c>
      <c r="K38" s="40">
        <f t="shared" si="1"/>
        <v>0.8794520547945206</v>
      </c>
      <c r="L38" s="40">
        <f t="shared" si="2"/>
        <v>0.5</v>
      </c>
      <c r="M38" s="40">
        <f t="shared" si="3"/>
        <v>0.6</v>
      </c>
      <c r="N38" s="41"/>
      <c r="O38" s="5">
        <v>0.5</v>
      </c>
      <c r="P38" s="5">
        <v>0.6</v>
      </c>
      <c r="Q38" s="5">
        <f t="shared" si="4"/>
        <v>0.125</v>
      </c>
      <c r="R38" s="5">
        <f t="shared" si="5"/>
        <v>0.45</v>
      </c>
      <c r="S38" s="5">
        <f t="shared" si="6"/>
        <v>0.57499999999999996</v>
      </c>
    </row>
    <row r="39" spans="1:19">
      <c r="A39" s="3" t="s">
        <v>4</v>
      </c>
      <c r="B39" s="3" t="s">
        <v>5</v>
      </c>
      <c r="C39" s="3" t="s">
        <v>31</v>
      </c>
      <c r="D39" s="3">
        <v>147</v>
      </c>
      <c r="E39" s="5">
        <v>1.74</v>
      </c>
      <c r="F39" s="5">
        <v>-0.83</v>
      </c>
      <c r="G39" s="3">
        <v>0</v>
      </c>
      <c r="H39" s="3">
        <v>1</v>
      </c>
      <c r="J39" s="40">
        <f t="shared" si="0"/>
        <v>0.73333333333333328</v>
      </c>
      <c r="K39" s="40">
        <f t="shared" si="1"/>
        <v>0.84657534246575339</v>
      </c>
      <c r="L39" s="40">
        <f t="shared" si="2"/>
        <v>0</v>
      </c>
      <c r="M39" s="40">
        <f t="shared" si="3"/>
        <v>0.2</v>
      </c>
      <c r="N39" s="41"/>
      <c r="O39" s="5">
        <v>0</v>
      </c>
      <c r="P39" s="5">
        <v>0.2</v>
      </c>
      <c r="Q39" s="5">
        <f t="shared" si="4"/>
        <v>0</v>
      </c>
      <c r="R39" s="5">
        <f t="shared" si="5"/>
        <v>0.15</v>
      </c>
      <c r="S39" s="5">
        <f t="shared" si="6"/>
        <v>0.15</v>
      </c>
    </row>
    <row r="40" spans="1:19">
      <c r="A40" s="3" t="s">
        <v>4</v>
      </c>
      <c r="B40" s="3" t="s">
        <v>5</v>
      </c>
      <c r="C40" s="3" t="s">
        <v>41</v>
      </c>
      <c r="D40" s="3">
        <v>148</v>
      </c>
      <c r="E40" s="5">
        <v>1.68</v>
      </c>
      <c r="F40" s="5">
        <v>-0.73</v>
      </c>
      <c r="G40" s="3">
        <v>2</v>
      </c>
      <c r="H40" s="3">
        <v>2</v>
      </c>
      <c r="J40" s="40">
        <f t="shared" si="0"/>
        <v>0.33333333333333331</v>
      </c>
      <c r="K40" s="40">
        <f t="shared" si="1"/>
        <v>0.87397260273972599</v>
      </c>
      <c r="L40" s="40">
        <f t="shared" si="2"/>
        <v>1</v>
      </c>
      <c r="M40" s="40">
        <f t="shared" si="3"/>
        <v>0.4</v>
      </c>
      <c r="N40" s="41"/>
      <c r="O40" s="5">
        <v>1</v>
      </c>
      <c r="P40" s="5">
        <v>0.4</v>
      </c>
      <c r="Q40" s="5">
        <f t="shared" si="4"/>
        <v>0.25</v>
      </c>
      <c r="R40" s="5">
        <f t="shared" si="5"/>
        <v>0.3</v>
      </c>
      <c r="S40" s="5">
        <f t="shared" si="6"/>
        <v>0.55000000000000004</v>
      </c>
    </row>
    <row r="41" spans="1:19">
      <c r="A41" s="3" t="s">
        <v>4</v>
      </c>
      <c r="B41" s="3" t="s">
        <v>5</v>
      </c>
      <c r="C41" s="3" t="s">
        <v>42</v>
      </c>
      <c r="D41" s="3">
        <v>149</v>
      </c>
      <c r="E41" s="5">
        <v>1.78</v>
      </c>
      <c r="F41" s="5">
        <v>-0.74</v>
      </c>
      <c r="G41" s="3">
        <v>0</v>
      </c>
      <c r="H41" s="3">
        <v>1</v>
      </c>
      <c r="J41" s="40">
        <f t="shared" si="0"/>
        <v>1</v>
      </c>
      <c r="K41" s="40">
        <f t="shared" si="1"/>
        <v>0.87123287671232874</v>
      </c>
      <c r="L41" s="40">
        <f t="shared" si="2"/>
        <v>0</v>
      </c>
      <c r="M41" s="40">
        <f t="shared" si="3"/>
        <v>0.2</v>
      </c>
      <c r="N41" s="41"/>
      <c r="O41" s="5">
        <v>0</v>
      </c>
      <c r="P41" s="5">
        <v>0.2</v>
      </c>
      <c r="Q41" s="5">
        <f t="shared" si="4"/>
        <v>0</v>
      </c>
      <c r="R41" s="5">
        <f t="shared" si="5"/>
        <v>0.15</v>
      </c>
      <c r="S41" s="5">
        <f t="shared" si="6"/>
        <v>0.15</v>
      </c>
    </row>
    <row r="42" spans="1:19">
      <c r="A42" s="3" t="s">
        <v>4</v>
      </c>
      <c r="B42" s="3" t="s">
        <v>5</v>
      </c>
      <c r="C42" s="3" t="s">
        <v>34</v>
      </c>
      <c r="D42" s="3">
        <v>150</v>
      </c>
      <c r="E42" s="5">
        <v>1.64</v>
      </c>
      <c r="F42" s="5">
        <v>-0.48</v>
      </c>
      <c r="G42" s="3">
        <v>1</v>
      </c>
      <c r="H42" s="3">
        <v>1</v>
      </c>
      <c r="J42" s="40">
        <f t="shared" si="0"/>
        <v>6.6666666666666666E-2</v>
      </c>
      <c r="K42" s="40">
        <f t="shared" si="1"/>
        <v>0.94246575342465755</v>
      </c>
      <c r="L42" s="40">
        <f t="shared" si="2"/>
        <v>0.5</v>
      </c>
      <c r="M42" s="40">
        <f t="shared" si="3"/>
        <v>0.2</v>
      </c>
      <c r="N42" s="41"/>
      <c r="O42" s="5">
        <v>0.5</v>
      </c>
      <c r="P42" s="5">
        <v>0.2</v>
      </c>
      <c r="Q42" s="5">
        <f t="shared" si="4"/>
        <v>0.125</v>
      </c>
      <c r="R42" s="5">
        <f t="shared" si="5"/>
        <v>0.15</v>
      </c>
      <c r="S42" s="5">
        <f t="shared" si="6"/>
        <v>0.27500000000000002</v>
      </c>
    </row>
    <row r="43" spans="1:19">
      <c r="A43" s="3" t="s">
        <v>4</v>
      </c>
      <c r="B43" s="3" t="s">
        <v>5</v>
      </c>
      <c r="C43" s="3" t="s">
        <v>18</v>
      </c>
      <c r="D43" s="3">
        <v>151</v>
      </c>
      <c r="E43" s="5">
        <v>1.74</v>
      </c>
      <c r="F43" s="5">
        <v>-0.56999999999999995</v>
      </c>
      <c r="G43" s="3">
        <v>2</v>
      </c>
      <c r="H43" s="3">
        <v>2</v>
      </c>
      <c r="J43" s="40">
        <f t="shared" si="0"/>
        <v>0.73333333333333328</v>
      </c>
      <c r="K43" s="40">
        <f t="shared" si="1"/>
        <v>0.9178082191780822</v>
      </c>
      <c r="L43" s="40">
        <f t="shared" si="2"/>
        <v>1</v>
      </c>
      <c r="M43" s="40">
        <f t="shared" si="3"/>
        <v>0.4</v>
      </c>
      <c r="N43" s="41"/>
      <c r="O43" s="5">
        <v>1</v>
      </c>
      <c r="P43" s="5">
        <v>0.4</v>
      </c>
      <c r="Q43" s="5">
        <f t="shared" si="4"/>
        <v>0.25</v>
      </c>
      <c r="R43" s="5">
        <f t="shared" si="5"/>
        <v>0.3</v>
      </c>
      <c r="S43" s="5">
        <f t="shared" si="6"/>
        <v>0.55000000000000004</v>
      </c>
    </row>
    <row r="44" spans="1:19">
      <c r="A44" s="3" t="s">
        <v>4</v>
      </c>
      <c r="B44" s="3" t="s">
        <v>5</v>
      </c>
      <c r="C44" s="3" t="s">
        <v>30</v>
      </c>
      <c r="D44" s="3">
        <v>152</v>
      </c>
      <c r="E44" s="5">
        <v>1.63</v>
      </c>
      <c r="F44" s="5">
        <v>-0.39</v>
      </c>
      <c r="G44" s="3">
        <v>0</v>
      </c>
      <c r="H44" s="3">
        <v>1</v>
      </c>
      <c r="J44" s="40">
        <f t="shared" si="0"/>
        <v>0</v>
      </c>
      <c r="K44" s="40">
        <f t="shared" si="1"/>
        <v>0.9671232876712329</v>
      </c>
      <c r="L44" s="40">
        <f t="shared" si="2"/>
        <v>0</v>
      </c>
      <c r="M44" s="40">
        <f t="shared" si="3"/>
        <v>0.2</v>
      </c>
      <c r="N44" s="41"/>
      <c r="O44" s="5">
        <v>0</v>
      </c>
      <c r="P44" s="5">
        <v>0.2</v>
      </c>
      <c r="Q44" s="5">
        <f t="shared" si="4"/>
        <v>0</v>
      </c>
      <c r="R44" s="5">
        <f t="shared" si="5"/>
        <v>0.15</v>
      </c>
      <c r="S44" s="5">
        <f t="shared" si="6"/>
        <v>0.15</v>
      </c>
    </row>
  </sheetData>
  <mergeCells count="1">
    <mergeCell ref="O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38DC-4B3D-4385-8BCC-008B852D49BA}">
  <sheetPr>
    <tabColor theme="5" tint="0.59999389629810485"/>
  </sheetPr>
  <dimension ref="A1:L44"/>
  <sheetViews>
    <sheetView topLeftCell="E1" workbookViewId="0">
      <selection activeCell="G17" sqref="G17"/>
    </sheetView>
  </sheetViews>
  <sheetFormatPr defaultRowHeight="14.25"/>
  <cols>
    <col min="1" max="1" width="13.125" style="15" customWidth="1"/>
    <col min="2" max="2" width="12.125" style="15" bestFit="1" customWidth="1"/>
    <col min="3" max="3" width="30.25" style="15" bestFit="1" customWidth="1"/>
    <col min="4" max="4" width="9.25" style="15" bestFit="1" customWidth="1"/>
    <col min="5" max="5" width="29.125" style="10" bestFit="1" customWidth="1"/>
    <col min="6" max="6" width="34" style="10" bestFit="1" customWidth="1"/>
    <col min="7" max="7" width="45.375" style="10" bestFit="1" customWidth="1"/>
    <col min="8" max="8" width="18.125" style="10" bestFit="1" customWidth="1"/>
    <col min="9" max="9" width="44.875" style="10" bestFit="1" customWidth="1"/>
    <col min="10" max="10" width="19.625" style="10" bestFit="1" customWidth="1"/>
    <col min="11" max="11" width="12.25" style="10" bestFit="1" customWidth="1"/>
    <col min="12" max="12" width="3.875" style="10" bestFit="1" customWidth="1"/>
    <col min="13" max="16384" width="9" style="10"/>
  </cols>
  <sheetData>
    <row r="1" spans="1:12">
      <c r="E1" s="10" t="s">
        <v>72</v>
      </c>
      <c r="F1" s="10" t="s">
        <v>75</v>
      </c>
      <c r="G1" s="10" t="s">
        <v>78</v>
      </c>
      <c r="H1" s="10" t="s">
        <v>80</v>
      </c>
      <c r="I1" s="10" t="s">
        <v>83</v>
      </c>
      <c r="J1" s="10" t="s">
        <v>85</v>
      </c>
    </row>
    <row r="4" spans="1:12" ht="30">
      <c r="A4" s="8" t="s">
        <v>0</v>
      </c>
      <c r="B4" s="8" t="s">
        <v>1</v>
      </c>
      <c r="C4" s="8" t="s">
        <v>2</v>
      </c>
      <c r="D4" s="8" t="s">
        <v>3</v>
      </c>
      <c r="E4" s="6" t="s">
        <v>45</v>
      </c>
      <c r="F4" s="9" t="s">
        <v>46</v>
      </c>
      <c r="G4" s="46" t="s">
        <v>105</v>
      </c>
      <c r="H4" s="9" t="s">
        <v>47</v>
      </c>
      <c r="I4" s="6" t="s">
        <v>48</v>
      </c>
      <c r="J4" s="6" t="s">
        <v>49</v>
      </c>
    </row>
    <row r="5" spans="1:12">
      <c r="A5" s="11" t="s">
        <v>4</v>
      </c>
      <c r="B5" s="11" t="s">
        <v>7</v>
      </c>
      <c r="C5" s="11" t="s">
        <v>7</v>
      </c>
      <c r="D5" s="11">
        <v>69</v>
      </c>
      <c r="E5" s="12">
        <v>0</v>
      </c>
      <c r="F5" s="13">
        <v>0</v>
      </c>
      <c r="G5" s="13"/>
      <c r="H5" s="14">
        <v>10</v>
      </c>
      <c r="I5" s="11">
        <v>4.5248868778280542</v>
      </c>
      <c r="J5" s="12">
        <v>0</v>
      </c>
      <c r="K5" s="17" t="s">
        <v>50</v>
      </c>
    </row>
    <row r="6" spans="1:12" ht="16.5">
      <c r="A6" s="11" t="s">
        <v>4</v>
      </c>
      <c r="B6" s="11" t="s">
        <v>7</v>
      </c>
      <c r="C6" s="11" t="s">
        <v>14</v>
      </c>
      <c r="D6" s="11">
        <v>70</v>
      </c>
      <c r="E6" s="12">
        <v>0</v>
      </c>
      <c r="F6" s="13">
        <v>0</v>
      </c>
      <c r="G6" s="44" t="s">
        <v>106</v>
      </c>
      <c r="H6" s="14">
        <v>15</v>
      </c>
      <c r="I6" s="11">
        <v>7.2815533980582519</v>
      </c>
      <c r="J6" s="12">
        <v>0</v>
      </c>
      <c r="K6" s="16" t="s">
        <v>51</v>
      </c>
      <c r="L6" s="4">
        <v>69</v>
      </c>
    </row>
    <row r="7" spans="1:12" ht="16.5">
      <c r="A7" s="11" t="s">
        <v>4</v>
      </c>
      <c r="B7" s="11" t="s">
        <v>7</v>
      </c>
      <c r="C7" s="11" t="s">
        <v>38</v>
      </c>
      <c r="D7" s="11">
        <v>71</v>
      </c>
      <c r="E7" s="12">
        <v>521.70000000000005</v>
      </c>
      <c r="F7" s="13">
        <v>4.0323989485345049</v>
      </c>
      <c r="G7" s="13"/>
      <c r="H7" s="14">
        <v>694</v>
      </c>
      <c r="I7" s="11">
        <v>9.8286361705140912</v>
      </c>
      <c r="J7" s="12">
        <v>41.978148361127083</v>
      </c>
      <c r="K7" s="16" t="s">
        <v>52</v>
      </c>
      <c r="L7" s="4">
        <v>70</v>
      </c>
    </row>
    <row r="8" spans="1:12" ht="16.5">
      <c r="A8" s="11" t="s">
        <v>4</v>
      </c>
      <c r="B8" s="11" t="s">
        <v>7</v>
      </c>
      <c r="C8" s="11" t="s">
        <v>8</v>
      </c>
      <c r="D8" s="11">
        <v>72</v>
      </c>
      <c r="E8" s="12">
        <v>1702.4</v>
      </c>
      <c r="F8" s="13">
        <v>15.882461968614081</v>
      </c>
      <c r="G8" s="13"/>
      <c r="H8" s="14">
        <v>3247</v>
      </c>
      <c r="I8" s="11">
        <v>34.842794291232963</v>
      </c>
      <c r="J8" s="12">
        <v>69.648731203007515</v>
      </c>
      <c r="K8" s="16" t="s">
        <v>53</v>
      </c>
      <c r="L8" s="4">
        <v>77</v>
      </c>
    </row>
    <row r="9" spans="1:12" ht="16.5">
      <c r="A9" s="11" t="s">
        <v>4</v>
      </c>
      <c r="B9" s="11" t="s">
        <v>7</v>
      </c>
      <c r="C9" s="11" t="s">
        <v>37</v>
      </c>
      <c r="D9" s="11">
        <v>73</v>
      </c>
      <c r="E9" s="12">
        <v>638.6</v>
      </c>
      <c r="F9" s="13">
        <v>8.7515823405035356</v>
      </c>
      <c r="G9" s="13"/>
      <c r="H9" s="14">
        <v>823</v>
      </c>
      <c r="I9" s="11">
        <v>18.687556766575842</v>
      </c>
      <c r="J9" s="12">
        <v>69.433134982774817</v>
      </c>
      <c r="K9" s="16" t="s">
        <v>54</v>
      </c>
      <c r="L9" s="4">
        <v>79</v>
      </c>
    </row>
    <row r="10" spans="1:12" ht="16.5">
      <c r="A10" s="11" t="s">
        <v>4</v>
      </c>
      <c r="B10" s="11" t="s">
        <v>7</v>
      </c>
      <c r="C10" s="11" t="s">
        <v>13</v>
      </c>
      <c r="D10" s="11">
        <v>74</v>
      </c>
      <c r="E10" s="12">
        <v>507.4</v>
      </c>
      <c r="F10" s="13">
        <v>8.2803699053741795</v>
      </c>
      <c r="G10" s="13"/>
      <c r="H10" s="14">
        <v>756</v>
      </c>
      <c r="I10" s="11">
        <v>25.116279069767444</v>
      </c>
      <c r="J10" s="12">
        <v>89.672841939298394</v>
      </c>
      <c r="K10" s="16" t="s">
        <v>55</v>
      </c>
      <c r="L10" s="4">
        <v>81</v>
      </c>
    </row>
    <row r="11" spans="1:12" ht="16.5">
      <c r="A11" s="11" t="s">
        <v>4</v>
      </c>
      <c r="B11" s="11" t="s">
        <v>7</v>
      </c>
      <c r="C11" s="11" t="s">
        <v>10</v>
      </c>
      <c r="D11" s="11">
        <v>75</v>
      </c>
      <c r="E11" s="12">
        <v>50.6</v>
      </c>
      <c r="F11" s="13">
        <v>1.8164918952065443</v>
      </c>
      <c r="G11" s="13"/>
      <c r="H11" s="14">
        <v>40</v>
      </c>
      <c r="I11" s="11">
        <v>5.4794520547945202</v>
      </c>
      <c r="J11" s="12">
        <v>100</v>
      </c>
      <c r="K11" s="16" t="s">
        <v>56</v>
      </c>
      <c r="L11" s="4">
        <v>107</v>
      </c>
    </row>
    <row r="12" spans="1:12" ht="16.5">
      <c r="A12" s="11" t="s">
        <v>4</v>
      </c>
      <c r="B12" s="11" t="s">
        <v>7</v>
      </c>
      <c r="C12" s="11" t="s">
        <v>19</v>
      </c>
      <c r="D12" s="11">
        <v>76</v>
      </c>
      <c r="E12" s="12">
        <v>260.10000000000002</v>
      </c>
      <c r="F12" s="13">
        <v>8.2306595374850851</v>
      </c>
      <c r="G12" s="13"/>
      <c r="H12" s="14">
        <v>484</v>
      </c>
      <c r="I12" s="11">
        <v>26.021505376344084</v>
      </c>
      <c r="J12" s="12">
        <v>76.547481737793149</v>
      </c>
      <c r="K12" s="16" t="s">
        <v>57</v>
      </c>
      <c r="L12" s="4">
        <v>111</v>
      </c>
    </row>
    <row r="13" spans="1:12">
      <c r="A13" s="11" t="s">
        <v>4</v>
      </c>
      <c r="B13" s="11" t="s">
        <v>7</v>
      </c>
      <c r="C13" s="11" t="s">
        <v>32</v>
      </c>
      <c r="D13" s="11">
        <v>77</v>
      </c>
      <c r="E13" s="12">
        <v>0</v>
      </c>
      <c r="F13" s="13">
        <v>5.1800856786171244E-3</v>
      </c>
      <c r="G13" s="13"/>
      <c r="H13" s="14">
        <v>12</v>
      </c>
      <c r="I13" s="11">
        <v>2.5751072961373391</v>
      </c>
      <c r="J13" s="12">
        <v>0</v>
      </c>
    </row>
    <row r="14" spans="1:12">
      <c r="A14" s="11" t="s">
        <v>4</v>
      </c>
      <c r="B14" s="11" t="s">
        <v>7</v>
      </c>
      <c r="C14" s="11" t="s">
        <v>21</v>
      </c>
      <c r="D14" s="11">
        <v>78</v>
      </c>
      <c r="E14" s="12">
        <v>1104.8</v>
      </c>
      <c r="F14" s="13">
        <v>12.115202248069243</v>
      </c>
      <c r="G14" s="13"/>
      <c r="H14" s="14">
        <v>2135</v>
      </c>
      <c r="I14" s="11">
        <v>34.324758842443728</v>
      </c>
      <c r="J14" s="12">
        <v>70.664373642288197</v>
      </c>
    </row>
    <row r="15" spans="1:12">
      <c r="A15" s="11" t="s">
        <v>4</v>
      </c>
      <c r="B15" s="11" t="s">
        <v>7</v>
      </c>
      <c r="C15" s="11" t="s">
        <v>33</v>
      </c>
      <c r="D15" s="11">
        <v>79</v>
      </c>
      <c r="E15" s="12">
        <v>0</v>
      </c>
      <c r="F15" s="13">
        <v>0</v>
      </c>
      <c r="G15" s="13"/>
      <c r="H15" s="14">
        <v>14</v>
      </c>
      <c r="I15" s="11">
        <v>5.3639846743295019</v>
      </c>
      <c r="J15" s="12">
        <v>0</v>
      </c>
    </row>
    <row r="16" spans="1:12">
      <c r="A16" s="11" t="s">
        <v>4</v>
      </c>
      <c r="B16" s="11" t="s">
        <v>7</v>
      </c>
      <c r="C16" s="11" t="s">
        <v>44</v>
      </c>
      <c r="D16" s="11">
        <v>80</v>
      </c>
      <c r="E16" s="12">
        <v>2.1</v>
      </c>
      <c r="F16" s="13">
        <v>0.12257530720436367</v>
      </c>
      <c r="G16" s="13"/>
      <c r="H16" s="14">
        <v>5</v>
      </c>
      <c r="I16" s="11">
        <v>2.2026431718061676</v>
      </c>
      <c r="J16" s="12">
        <v>100</v>
      </c>
    </row>
    <row r="17" spans="1:10">
      <c r="A17" s="11" t="s">
        <v>4</v>
      </c>
      <c r="B17" s="11" t="s">
        <v>7</v>
      </c>
      <c r="C17" s="11" t="s">
        <v>40</v>
      </c>
      <c r="D17" s="11">
        <v>81</v>
      </c>
      <c r="E17" s="12">
        <v>0</v>
      </c>
      <c r="F17" s="13">
        <v>0</v>
      </c>
      <c r="G17" s="13"/>
      <c r="H17" s="14">
        <v>21</v>
      </c>
      <c r="I17" s="11">
        <v>5.1724137931034484</v>
      </c>
      <c r="J17" s="12">
        <v>0</v>
      </c>
    </row>
    <row r="18" spans="1:10">
      <c r="A18" s="11" t="s">
        <v>4</v>
      </c>
      <c r="B18" s="11" t="s">
        <v>11</v>
      </c>
      <c r="C18" s="11" t="s">
        <v>16</v>
      </c>
      <c r="D18" s="11">
        <v>100</v>
      </c>
      <c r="E18" s="12">
        <v>1748</v>
      </c>
      <c r="F18" s="13">
        <v>10.193529801961844</v>
      </c>
      <c r="G18" s="13"/>
      <c r="H18" s="14">
        <v>3570</v>
      </c>
      <c r="I18" s="11">
        <v>29.75743935983996</v>
      </c>
      <c r="J18" s="12">
        <v>67.848970251716239</v>
      </c>
    </row>
    <row r="19" spans="1:10">
      <c r="A19" s="11" t="s">
        <v>4</v>
      </c>
      <c r="B19" s="11" t="s">
        <v>11</v>
      </c>
      <c r="C19" s="11" t="s">
        <v>26</v>
      </c>
      <c r="D19" s="11">
        <v>101</v>
      </c>
      <c r="E19" s="12">
        <v>521</v>
      </c>
      <c r="F19" s="13">
        <v>6.6599460713202694</v>
      </c>
      <c r="G19" s="13"/>
      <c r="H19" s="14">
        <v>715</v>
      </c>
      <c r="I19" s="11">
        <v>18.850514104930134</v>
      </c>
      <c r="J19" s="12">
        <v>62.955854126679469</v>
      </c>
    </row>
    <row r="20" spans="1:10">
      <c r="A20" s="11" t="s">
        <v>4</v>
      </c>
      <c r="B20" s="11" t="s">
        <v>11</v>
      </c>
      <c r="C20" s="11" t="s">
        <v>27</v>
      </c>
      <c r="D20" s="11">
        <v>102</v>
      </c>
      <c r="E20" s="12">
        <v>2226</v>
      </c>
      <c r="F20" s="13">
        <v>10.413503098307583</v>
      </c>
      <c r="G20" s="13"/>
      <c r="H20" s="14">
        <v>3588</v>
      </c>
      <c r="I20" s="11">
        <v>21.591045853893366</v>
      </c>
      <c r="J20" s="12">
        <v>86.972147349505832</v>
      </c>
    </row>
    <row r="21" spans="1:10">
      <c r="A21" s="11" t="s">
        <v>4</v>
      </c>
      <c r="B21" s="11" t="s">
        <v>11</v>
      </c>
      <c r="C21" s="11" t="s">
        <v>35</v>
      </c>
      <c r="D21" s="11">
        <v>103</v>
      </c>
      <c r="E21" s="12">
        <v>2267</v>
      </c>
      <c r="F21" s="13">
        <v>11.358048944925377</v>
      </c>
      <c r="G21" s="13"/>
      <c r="H21" s="14">
        <v>4442</v>
      </c>
      <c r="I21" s="11">
        <v>26.223507881220854</v>
      </c>
      <c r="J21" s="12">
        <v>76.091751213056895</v>
      </c>
    </row>
    <row r="22" spans="1:10">
      <c r="A22" s="11" t="s">
        <v>4</v>
      </c>
      <c r="B22" s="11" t="s">
        <v>11</v>
      </c>
      <c r="C22" s="11" t="s">
        <v>11</v>
      </c>
      <c r="D22" s="11">
        <v>104</v>
      </c>
      <c r="E22" s="12">
        <v>1805</v>
      </c>
      <c r="F22" s="13">
        <v>17.67814279304201</v>
      </c>
      <c r="G22" s="13"/>
      <c r="H22" s="14">
        <v>2297</v>
      </c>
      <c r="I22" s="11">
        <v>31.015392924655682</v>
      </c>
      <c r="J22" s="12">
        <v>17.229916897506925</v>
      </c>
    </row>
    <row r="23" spans="1:10">
      <c r="A23" s="11" t="s">
        <v>4</v>
      </c>
      <c r="B23" s="11" t="s">
        <v>11</v>
      </c>
      <c r="C23" s="11" t="s">
        <v>24</v>
      </c>
      <c r="D23" s="11">
        <v>105</v>
      </c>
      <c r="E23" s="12">
        <v>587</v>
      </c>
      <c r="F23" s="13">
        <v>5.6426613378423385</v>
      </c>
      <c r="G23" s="13"/>
      <c r="H23" s="14">
        <v>642</v>
      </c>
      <c r="I23" s="11">
        <v>12.056338028169014</v>
      </c>
      <c r="J23" s="12">
        <v>20.613287904599659</v>
      </c>
    </row>
    <row r="24" spans="1:10">
      <c r="A24" s="11" t="s">
        <v>4</v>
      </c>
      <c r="B24" s="11" t="s">
        <v>11</v>
      </c>
      <c r="C24" s="11" t="s">
        <v>20</v>
      </c>
      <c r="D24" s="11">
        <v>106</v>
      </c>
      <c r="E24" s="12">
        <v>232</v>
      </c>
      <c r="F24" s="13">
        <v>0.96045922872109024</v>
      </c>
      <c r="G24" s="13"/>
      <c r="H24" s="14">
        <v>185</v>
      </c>
      <c r="I24" s="11">
        <v>2.4208322428683591</v>
      </c>
      <c r="J24" s="12">
        <v>89.224137931034491</v>
      </c>
    </row>
    <row r="25" spans="1:10">
      <c r="A25" s="11" t="s">
        <v>4</v>
      </c>
      <c r="B25" s="11" t="s">
        <v>11</v>
      </c>
      <c r="C25" s="11" t="s">
        <v>23</v>
      </c>
      <c r="D25" s="11">
        <v>107</v>
      </c>
      <c r="E25" s="12">
        <v>0</v>
      </c>
      <c r="F25" s="13">
        <v>0</v>
      </c>
      <c r="G25" s="13"/>
      <c r="H25" s="14">
        <v>12</v>
      </c>
      <c r="I25" s="11">
        <v>1.1342155009451798</v>
      </c>
      <c r="J25" s="12">
        <v>0</v>
      </c>
    </row>
    <row r="26" spans="1:10">
      <c r="A26" s="11" t="s">
        <v>4</v>
      </c>
      <c r="B26" s="11" t="s">
        <v>11</v>
      </c>
      <c r="C26" s="11" t="s">
        <v>36</v>
      </c>
      <c r="D26" s="11">
        <v>108</v>
      </c>
      <c r="E26" s="12">
        <v>1246</v>
      </c>
      <c r="F26" s="13">
        <v>12.04728677555701</v>
      </c>
      <c r="G26" s="13"/>
      <c r="H26" s="14">
        <v>2357</v>
      </c>
      <c r="I26" s="11">
        <v>30.710097719869704</v>
      </c>
      <c r="J26" s="12">
        <v>73.99678972712681</v>
      </c>
    </row>
    <row r="27" spans="1:10">
      <c r="A27" s="11" t="s">
        <v>4</v>
      </c>
      <c r="B27" s="11" t="s">
        <v>11</v>
      </c>
      <c r="C27" s="11" t="s">
        <v>12</v>
      </c>
      <c r="D27" s="11">
        <v>109</v>
      </c>
      <c r="E27" s="12">
        <v>1824</v>
      </c>
      <c r="F27" s="13">
        <v>12.900945413371421</v>
      </c>
      <c r="G27" s="13"/>
      <c r="H27" s="14">
        <v>2753</v>
      </c>
      <c r="I27" s="11">
        <v>21.496056843913486</v>
      </c>
      <c r="J27" s="12">
        <v>27.960526315789476</v>
      </c>
    </row>
    <row r="28" spans="1:10">
      <c r="A28" s="11" t="s">
        <v>4</v>
      </c>
      <c r="B28" s="11" t="s">
        <v>11</v>
      </c>
      <c r="C28" s="11" t="s">
        <v>15</v>
      </c>
      <c r="D28" s="11">
        <v>110</v>
      </c>
      <c r="E28" s="12">
        <v>2211</v>
      </c>
      <c r="F28" s="13">
        <v>12.77111879704027</v>
      </c>
      <c r="G28" s="13"/>
      <c r="H28" s="14">
        <v>5922</v>
      </c>
      <c r="I28" s="11">
        <v>36.122971818958156</v>
      </c>
      <c r="J28" s="12">
        <v>30.755314337403888</v>
      </c>
    </row>
    <row r="29" spans="1:10">
      <c r="A29" s="11" t="s">
        <v>4</v>
      </c>
      <c r="B29" s="11" t="s">
        <v>11</v>
      </c>
      <c r="C29" s="11" t="s">
        <v>43</v>
      </c>
      <c r="D29" s="11">
        <v>111</v>
      </c>
      <c r="E29" s="12">
        <v>0</v>
      </c>
      <c r="F29" s="13">
        <v>0</v>
      </c>
      <c r="G29" s="13"/>
      <c r="H29" s="14">
        <v>6</v>
      </c>
      <c r="I29" s="11">
        <v>0.43956043956043955</v>
      </c>
      <c r="J29" s="12">
        <v>0</v>
      </c>
    </row>
    <row r="30" spans="1:10">
      <c r="A30" s="11" t="s">
        <v>4</v>
      </c>
      <c r="B30" s="11" t="s">
        <v>11</v>
      </c>
      <c r="C30" s="11" t="s">
        <v>22</v>
      </c>
      <c r="D30" s="11">
        <v>112</v>
      </c>
      <c r="E30" s="12">
        <v>28</v>
      </c>
      <c r="F30" s="13">
        <v>0.49498023577150457</v>
      </c>
      <c r="G30" s="13"/>
      <c r="H30" s="14">
        <v>47</v>
      </c>
      <c r="I30" s="11">
        <v>2.5133689839572195</v>
      </c>
      <c r="J30" s="12">
        <v>0</v>
      </c>
    </row>
    <row r="31" spans="1:10">
      <c r="A31" s="11" t="s">
        <v>4</v>
      </c>
      <c r="B31" s="11" t="s">
        <v>5</v>
      </c>
      <c r="C31" s="11" t="s">
        <v>6</v>
      </c>
      <c r="D31" s="11">
        <v>139</v>
      </c>
      <c r="E31" s="12">
        <v>1097.5999999999999</v>
      </c>
      <c r="F31" s="13">
        <v>12.691921124903638</v>
      </c>
      <c r="G31" s="13"/>
      <c r="H31" s="14">
        <v>2542</v>
      </c>
      <c r="I31" s="11">
        <v>38.963825873697118</v>
      </c>
      <c r="J31" s="12">
        <v>68.904883381924193</v>
      </c>
    </row>
    <row r="32" spans="1:10">
      <c r="A32" s="11" t="s">
        <v>4</v>
      </c>
      <c r="B32" s="11" t="s">
        <v>5</v>
      </c>
      <c r="C32" s="11" t="s">
        <v>25</v>
      </c>
      <c r="D32" s="11">
        <v>140</v>
      </c>
      <c r="E32" s="12">
        <v>558.20000000000005</v>
      </c>
      <c r="F32" s="13">
        <v>8.334442957159176</v>
      </c>
      <c r="G32" s="13"/>
      <c r="H32" s="14">
        <v>646</v>
      </c>
      <c r="I32" s="11">
        <v>13.588557004627683</v>
      </c>
      <c r="J32" s="12">
        <v>63.65102113937656</v>
      </c>
    </row>
    <row r="33" spans="1:10">
      <c r="A33" s="11" t="s">
        <v>4</v>
      </c>
      <c r="B33" s="11" t="s">
        <v>5</v>
      </c>
      <c r="C33" s="11" t="s">
        <v>28</v>
      </c>
      <c r="D33" s="11">
        <v>141</v>
      </c>
      <c r="E33" s="12">
        <v>687.7</v>
      </c>
      <c r="F33" s="13">
        <v>7.626880025246102</v>
      </c>
      <c r="G33" s="13"/>
      <c r="H33" s="14">
        <v>1274</v>
      </c>
      <c r="I33" s="11">
        <v>22.409850483729112</v>
      </c>
      <c r="J33" s="12">
        <v>88.090737240075597</v>
      </c>
    </row>
    <row r="34" spans="1:10">
      <c r="A34" s="11" t="s">
        <v>4</v>
      </c>
      <c r="B34" s="11" t="s">
        <v>5</v>
      </c>
      <c r="C34" s="11" t="s">
        <v>9</v>
      </c>
      <c r="D34" s="11">
        <v>142</v>
      </c>
      <c r="E34" s="12">
        <v>2341.6999999999998</v>
      </c>
      <c r="F34" s="13">
        <v>10.450298292230183</v>
      </c>
      <c r="G34" s="13"/>
      <c r="H34" s="14">
        <v>3702</v>
      </c>
      <c r="I34" s="11">
        <v>33.630087209302324</v>
      </c>
      <c r="J34" s="12">
        <v>92.099756587094845</v>
      </c>
    </row>
    <row r="35" spans="1:10">
      <c r="A35" s="11" t="s">
        <v>4</v>
      </c>
      <c r="B35" s="11" t="s">
        <v>5</v>
      </c>
      <c r="C35" s="11" t="s">
        <v>29</v>
      </c>
      <c r="D35" s="11">
        <v>143</v>
      </c>
      <c r="E35" s="12">
        <v>1108.3</v>
      </c>
      <c r="F35" s="13">
        <v>8.7102018967994006</v>
      </c>
      <c r="G35" s="13"/>
      <c r="H35" s="14">
        <v>1628</v>
      </c>
      <c r="I35" s="11">
        <v>33.394871794871797</v>
      </c>
      <c r="J35" s="12">
        <v>90.029775331588922</v>
      </c>
    </row>
    <row r="36" spans="1:10">
      <c r="A36" s="11" t="s">
        <v>4</v>
      </c>
      <c r="B36" s="11" t="s">
        <v>5</v>
      </c>
      <c r="C36" s="11" t="s">
        <v>17</v>
      </c>
      <c r="D36" s="11">
        <v>144</v>
      </c>
      <c r="E36" s="12">
        <v>1867.5</v>
      </c>
      <c r="F36" s="13">
        <v>19.548891086032544</v>
      </c>
      <c r="G36" s="13"/>
      <c r="H36" s="14">
        <v>3906</v>
      </c>
      <c r="I36" s="11">
        <v>39.82463295269168</v>
      </c>
      <c r="J36" s="12">
        <v>95.346720214190086</v>
      </c>
    </row>
    <row r="37" spans="1:10">
      <c r="A37" s="11" t="s">
        <v>4</v>
      </c>
      <c r="B37" s="11" t="s">
        <v>5</v>
      </c>
      <c r="C37" s="11" t="s">
        <v>39</v>
      </c>
      <c r="D37" s="11">
        <v>145</v>
      </c>
      <c r="E37" s="12">
        <v>694.3</v>
      </c>
      <c r="F37" s="13">
        <v>10.758434234357921</v>
      </c>
      <c r="G37" s="13"/>
      <c r="H37" s="14">
        <v>1308</v>
      </c>
      <c r="I37" s="11">
        <v>20.562804590473196</v>
      </c>
      <c r="J37" s="12">
        <v>79.792596860146915</v>
      </c>
    </row>
    <row r="38" spans="1:10">
      <c r="A38" s="11" t="s">
        <v>4</v>
      </c>
      <c r="B38" s="11" t="s">
        <v>5</v>
      </c>
      <c r="C38" s="11" t="s">
        <v>5</v>
      </c>
      <c r="D38" s="11">
        <v>146</v>
      </c>
      <c r="E38" s="12">
        <v>550.6</v>
      </c>
      <c r="F38" s="13">
        <v>6.1085430939453174</v>
      </c>
      <c r="G38" s="13"/>
      <c r="H38" s="14">
        <v>442</v>
      </c>
      <c r="I38" s="11">
        <v>10.673750301859455</v>
      </c>
      <c r="J38" s="12">
        <v>100</v>
      </c>
    </row>
    <row r="39" spans="1:10">
      <c r="A39" s="11" t="s">
        <v>4</v>
      </c>
      <c r="B39" s="11" t="s">
        <v>5</v>
      </c>
      <c r="C39" s="11" t="s">
        <v>31</v>
      </c>
      <c r="D39" s="11">
        <v>147</v>
      </c>
      <c r="E39" s="12">
        <v>902.4</v>
      </c>
      <c r="F39" s="13">
        <v>15.571560195078654</v>
      </c>
      <c r="G39" s="13"/>
      <c r="H39" s="14">
        <v>1670</v>
      </c>
      <c r="I39" s="11">
        <v>41.193882585101136</v>
      </c>
      <c r="J39" s="12">
        <v>79.997783687943254</v>
      </c>
    </row>
    <row r="40" spans="1:10">
      <c r="A40" s="11" t="s">
        <v>4</v>
      </c>
      <c r="B40" s="11" t="s">
        <v>5</v>
      </c>
      <c r="C40" s="11" t="s">
        <v>41</v>
      </c>
      <c r="D40" s="11">
        <v>148</v>
      </c>
      <c r="E40" s="12">
        <v>1709.1</v>
      </c>
      <c r="F40" s="13">
        <v>9.2658465561984968</v>
      </c>
      <c r="G40" s="13"/>
      <c r="H40" s="14">
        <v>2792</v>
      </c>
      <c r="I40" s="11">
        <v>31.687663148337307</v>
      </c>
      <c r="J40" s="12">
        <v>84.728804634017905</v>
      </c>
    </row>
    <row r="41" spans="1:10">
      <c r="A41" s="11" t="s">
        <v>4</v>
      </c>
      <c r="B41" s="11" t="s">
        <v>5</v>
      </c>
      <c r="C41" s="11" t="s">
        <v>42</v>
      </c>
      <c r="D41" s="11">
        <v>149</v>
      </c>
      <c r="E41" s="12">
        <v>1256.8</v>
      </c>
      <c r="F41" s="13">
        <v>13.914055210467399</v>
      </c>
      <c r="G41" s="13"/>
      <c r="H41" s="14">
        <v>1947</v>
      </c>
      <c r="I41" s="11">
        <v>35.169797687861269</v>
      </c>
      <c r="J41" s="12">
        <v>100</v>
      </c>
    </row>
    <row r="42" spans="1:10">
      <c r="A42" s="11" t="s">
        <v>4</v>
      </c>
      <c r="B42" s="11" t="s">
        <v>5</v>
      </c>
      <c r="C42" s="11" t="s">
        <v>34</v>
      </c>
      <c r="D42" s="11">
        <v>150</v>
      </c>
      <c r="E42" s="12">
        <v>1616.8</v>
      </c>
      <c r="F42" s="13">
        <v>5.8953895716232809</v>
      </c>
      <c r="G42" s="13"/>
      <c r="H42" s="14">
        <v>2242</v>
      </c>
      <c r="I42" s="11">
        <v>19.613332166914528</v>
      </c>
      <c r="J42" s="12">
        <v>81.729341909945575</v>
      </c>
    </row>
    <row r="43" spans="1:10">
      <c r="A43" s="11" t="s">
        <v>4</v>
      </c>
      <c r="B43" s="11" t="s">
        <v>5</v>
      </c>
      <c r="C43" s="11" t="s">
        <v>18</v>
      </c>
      <c r="D43" s="11">
        <v>151</v>
      </c>
      <c r="E43" s="12">
        <v>66.8</v>
      </c>
      <c r="F43" s="13">
        <v>0.95371508367583357</v>
      </c>
      <c r="G43" s="13"/>
      <c r="H43" s="14">
        <v>132</v>
      </c>
      <c r="I43" s="11">
        <v>5.1441932969602489</v>
      </c>
      <c r="J43" s="12">
        <v>100</v>
      </c>
    </row>
    <row r="44" spans="1:10">
      <c r="A44" s="11" t="s">
        <v>4</v>
      </c>
      <c r="B44" s="11" t="s">
        <v>5</v>
      </c>
      <c r="C44" s="11" t="s">
        <v>30</v>
      </c>
      <c r="D44" s="11">
        <v>152</v>
      </c>
      <c r="E44" s="12">
        <v>1862.8</v>
      </c>
      <c r="F44" s="13">
        <v>8.4226591977092262</v>
      </c>
      <c r="G44" s="13"/>
      <c r="H44" s="14">
        <v>3767</v>
      </c>
      <c r="I44" s="11">
        <v>30.725938009787928</v>
      </c>
      <c r="J44" s="12">
        <v>80.421945458449642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E98C-549E-45A8-8B60-23CDE8181A4F}">
  <sheetPr>
    <tabColor rgb="FFFFFF00"/>
  </sheetPr>
  <dimension ref="A1:O44"/>
  <sheetViews>
    <sheetView workbookViewId="0">
      <selection activeCell="O4" sqref="O4"/>
    </sheetView>
  </sheetViews>
  <sheetFormatPr defaultRowHeight="14.25"/>
  <cols>
    <col min="1" max="1" width="13.125" style="1" customWidth="1"/>
    <col min="2" max="2" width="11.875" style="1" customWidth="1"/>
    <col min="3" max="3" width="19.125" style="1" customWidth="1"/>
    <col min="4" max="4" width="6.75" style="1" customWidth="1"/>
    <col min="5" max="5" width="6.75" customWidth="1"/>
    <col min="6" max="6" width="10.5" customWidth="1"/>
    <col min="7" max="7" width="15.75" customWidth="1"/>
  </cols>
  <sheetData>
    <row r="1" spans="1:15">
      <c r="H1" s="29" t="s">
        <v>64</v>
      </c>
      <c r="I1" s="29" t="s">
        <v>64</v>
      </c>
    </row>
    <row r="2" spans="1:15">
      <c r="H2">
        <v>1</v>
      </c>
      <c r="I2">
        <v>1</v>
      </c>
    </row>
    <row r="3" spans="1:15" ht="15">
      <c r="K3" s="55" t="s">
        <v>99</v>
      </c>
      <c r="L3" s="55"/>
      <c r="M3" s="55"/>
      <c r="N3" s="55"/>
      <c r="O3" s="30" t="s">
        <v>89</v>
      </c>
    </row>
    <row r="4" spans="1:15" ht="165">
      <c r="A4" s="2" t="s">
        <v>0</v>
      </c>
      <c r="B4" s="2" t="s">
        <v>1</v>
      </c>
      <c r="C4" s="2" t="s">
        <v>2</v>
      </c>
      <c r="D4" s="2" t="s">
        <v>3</v>
      </c>
      <c r="E4" s="42" t="s">
        <v>100</v>
      </c>
      <c r="F4" s="42" t="s">
        <v>101</v>
      </c>
      <c r="H4" s="42" t="s">
        <v>100</v>
      </c>
      <c r="I4" s="42" t="s">
        <v>101</v>
      </c>
      <c r="K4" s="43" t="s">
        <v>102</v>
      </c>
      <c r="L4" s="43" t="s">
        <v>101</v>
      </c>
      <c r="M4" s="43" t="s">
        <v>103</v>
      </c>
      <c r="N4" s="43" t="s">
        <v>104</v>
      </c>
      <c r="O4" s="46" t="s">
        <v>105</v>
      </c>
    </row>
    <row r="5" spans="1:15">
      <c r="A5" s="3" t="s">
        <v>4</v>
      </c>
      <c r="B5" s="3" t="s">
        <v>7</v>
      </c>
      <c r="C5" s="3" t="s">
        <v>7</v>
      </c>
      <c r="D5" s="3">
        <v>69</v>
      </c>
      <c r="E5" s="3">
        <v>0</v>
      </c>
      <c r="F5" s="3">
        <v>0</v>
      </c>
      <c r="H5" s="40" t="e">
        <f t="shared" ref="H5:H44" si="0">IF($H$2&gt;0,((E5)-(MIN($E$5:$E$44)))/((MAX($E$5:$E$44))-(MIN($E$5:$E$44))),(1-((E5-MIN($E$5:$E$44)))/((MAX($E$5:$E$44))-(MIN($E$5:$E$44)))))</f>
        <v>#DIV/0!</v>
      </c>
      <c r="I5" s="40">
        <f t="shared" ref="I5:I44" si="1">IF($I$2&gt;0,((F5)-(MIN($F$5:$F$44)))/((MAX($F$5:$F$44))-(MIN($F$5:$F$44))),(1-((F5-MIN($F$5:$F$44)))/((MAX($F$5:$F$44))-(MIN($F$5:$F$44)))))</f>
        <v>0</v>
      </c>
      <c r="K5" s="5">
        <v>0</v>
      </c>
      <c r="L5" s="5">
        <v>0</v>
      </c>
      <c r="M5" s="5"/>
      <c r="N5" s="5"/>
      <c r="O5" s="45">
        <f>L5/100*100</f>
        <v>0</v>
      </c>
    </row>
    <row r="6" spans="1:15">
      <c r="A6" s="3" t="s">
        <v>4</v>
      </c>
      <c r="B6" s="3" t="s">
        <v>7</v>
      </c>
      <c r="C6" s="3" t="s">
        <v>14</v>
      </c>
      <c r="D6" s="3">
        <v>70</v>
      </c>
      <c r="E6" s="3">
        <v>0</v>
      </c>
      <c r="F6" s="3">
        <v>0</v>
      </c>
      <c r="H6" s="40" t="e">
        <f t="shared" si="0"/>
        <v>#DIV/0!</v>
      </c>
      <c r="I6" s="40">
        <f t="shared" si="1"/>
        <v>0</v>
      </c>
      <c r="K6" s="5">
        <v>0</v>
      </c>
      <c r="L6" s="5">
        <v>0</v>
      </c>
      <c r="M6" s="5"/>
      <c r="N6" s="5"/>
      <c r="O6" s="45">
        <f t="shared" ref="O6:O44" si="2">L6/100*100</f>
        <v>0</v>
      </c>
    </row>
    <row r="7" spans="1:15">
      <c r="A7" s="3" t="s">
        <v>4</v>
      </c>
      <c r="B7" s="3" t="s">
        <v>7</v>
      </c>
      <c r="C7" s="3" t="s">
        <v>38</v>
      </c>
      <c r="D7" s="3">
        <v>71</v>
      </c>
      <c r="E7" s="3">
        <v>0</v>
      </c>
      <c r="F7" s="3">
        <v>0</v>
      </c>
      <c r="H7" s="40" t="e">
        <f t="shared" si="0"/>
        <v>#DIV/0!</v>
      </c>
      <c r="I7" s="40">
        <f t="shared" si="1"/>
        <v>0</v>
      </c>
      <c r="K7" s="5">
        <v>0</v>
      </c>
      <c r="L7" s="5">
        <v>0</v>
      </c>
      <c r="M7" s="5"/>
      <c r="N7" s="5"/>
      <c r="O7" s="45">
        <f t="shared" si="2"/>
        <v>0</v>
      </c>
    </row>
    <row r="8" spans="1:15">
      <c r="A8" s="3" t="s">
        <v>4</v>
      </c>
      <c r="B8" s="3" t="s">
        <v>7</v>
      </c>
      <c r="C8" s="3" t="s">
        <v>8</v>
      </c>
      <c r="D8" s="3">
        <v>72</v>
      </c>
      <c r="E8" s="3">
        <v>0</v>
      </c>
      <c r="F8" s="3">
        <v>0</v>
      </c>
      <c r="H8" s="40" t="e">
        <f t="shared" si="0"/>
        <v>#DIV/0!</v>
      </c>
      <c r="I8" s="40">
        <f t="shared" si="1"/>
        <v>0</v>
      </c>
      <c r="K8" s="5">
        <v>0</v>
      </c>
      <c r="L8" s="5">
        <v>0</v>
      </c>
      <c r="M8" s="5"/>
      <c r="N8" s="5"/>
      <c r="O8" s="45">
        <f t="shared" si="2"/>
        <v>0</v>
      </c>
    </row>
    <row r="9" spans="1:15">
      <c r="A9" s="3" t="s">
        <v>4</v>
      </c>
      <c r="B9" s="3" t="s">
        <v>7</v>
      </c>
      <c r="C9" s="3" t="s">
        <v>37</v>
      </c>
      <c r="D9" s="3">
        <v>73</v>
      </c>
      <c r="E9" s="3">
        <v>0</v>
      </c>
      <c r="F9" s="3">
        <v>0</v>
      </c>
      <c r="H9" s="40" t="e">
        <f t="shared" si="0"/>
        <v>#DIV/0!</v>
      </c>
      <c r="I9" s="40">
        <f t="shared" si="1"/>
        <v>0</v>
      </c>
      <c r="K9" s="5">
        <v>0</v>
      </c>
      <c r="L9" s="5">
        <v>0</v>
      </c>
      <c r="M9" s="5"/>
      <c r="N9" s="5"/>
      <c r="O9" s="45">
        <f t="shared" si="2"/>
        <v>0</v>
      </c>
    </row>
    <row r="10" spans="1:15">
      <c r="A10" s="3" t="s">
        <v>4</v>
      </c>
      <c r="B10" s="3" t="s">
        <v>7</v>
      </c>
      <c r="C10" s="3" t="s">
        <v>13</v>
      </c>
      <c r="D10" s="3">
        <v>74</v>
      </c>
      <c r="E10" s="3">
        <v>0</v>
      </c>
      <c r="F10" s="3">
        <v>0</v>
      </c>
      <c r="H10" s="40" t="e">
        <f t="shared" si="0"/>
        <v>#DIV/0!</v>
      </c>
      <c r="I10" s="40">
        <f t="shared" si="1"/>
        <v>0</v>
      </c>
      <c r="K10" s="5">
        <v>0</v>
      </c>
      <c r="L10" s="5">
        <v>0</v>
      </c>
      <c r="M10" s="5"/>
      <c r="N10" s="5"/>
      <c r="O10" s="45">
        <f t="shared" si="2"/>
        <v>0</v>
      </c>
    </row>
    <row r="11" spans="1:15">
      <c r="A11" s="3" t="s">
        <v>4</v>
      </c>
      <c r="B11" s="3" t="s">
        <v>7</v>
      </c>
      <c r="C11" s="3" t="s">
        <v>10</v>
      </c>
      <c r="D11" s="3">
        <v>75</v>
      </c>
      <c r="E11" s="3">
        <v>0</v>
      </c>
      <c r="F11" s="3">
        <v>0</v>
      </c>
      <c r="H11" s="40" t="e">
        <f t="shared" si="0"/>
        <v>#DIV/0!</v>
      </c>
      <c r="I11" s="40">
        <f t="shared" si="1"/>
        <v>0</v>
      </c>
      <c r="K11" s="5">
        <v>0</v>
      </c>
      <c r="L11" s="5">
        <v>0</v>
      </c>
      <c r="M11" s="5"/>
      <c r="N11" s="5"/>
      <c r="O11" s="45">
        <f t="shared" si="2"/>
        <v>0</v>
      </c>
    </row>
    <row r="12" spans="1:15">
      <c r="A12" s="3" t="s">
        <v>4</v>
      </c>
      <c r="B12" s="3" t="s">
        <v>7</v>
      </c>
      <c r="C12" s="3" t="s">
        <v>19</v>
      </c>
      <c r="D12" s="3">
        <v>76</v>
      </c>
      <c r="E12" s="3">
        <v>0</v>
      </c>
      <c r="F12" s="3">
        <v>0</v>
      </c>
      <c r="H12" s="40" t="e">
        <f t="shared" si="0"/>
        <v>#DIV/0!</v>
      </c>
      <c r="I12" s="40">
        <f t="shared" si="1"/>
        <v>0</v>
      </c>
      <c r="K12" s="5">
        <v>0</v>
      </c>
      <c r="L12" s="5">
        <v>0</v>
      </c>
      <c r="M12" s="5"/>
      <c r="N12" s="5"/>
      <c r="O12" s="45">
        <f t="shared" si="2"/>
        <v>0</v>
      </c>
    </row>
    <row r="13" spans="1:15">
      <c r="A13" s="3" t="s">
        <v>4</v>
      </c>
      <c r="B13" s="3" t="s">
        <v>7</v>
      </c>
      <c r="C13" s="3" t="s">
        <v>32</v>
      </c>
      <c r="D13" s="3">
        <v>77</v>
      </c>
      <c r="E13" s="3">
        <v>0</v>
      </c>
      <c r="F13" s="3">
        <v>0</v>
      </c>
      <c r="H13" s="40" t="e">
        <f t="shared" si="0"/>
        <v>#DIV/0!</v>
      </c>
      <c r="I13" s="40">
        <f t="shared" si="1"/>
        <v>0</v>
      </c>
      <c r="K13" s="5">
        <v>0</v>
      </c>
      <c r="L13" s="5">
        <v>0</v>
      </c>
      <c r="M13" s="5"/>
      <c r="N13" s="5"/>
      <c r="O13" s="45">
        <f t="shared" si="2"/>
        <v>0</v>
      </c>
    </row>
    <row r="14" spans="1:15">
      <c r="A14" s="3" t="s">
        <v>4</v>
      </c>
      <c r="B14" s="3" t="s">
        <v>7</v>
      </c>
      <c r="C14" s="3" t="s">
        <v>21</v>
      </c>
      <c r="D14" s="3">
        <v>78</v>
      </c>
      <c r="E14" s="3">
        <v>0</v>
      </c>
      <c r="F14" s="3">
        <v>0</v>
      </c>
      <c r="H14" s="40" t="e">
        <f t="shared" si="0"/>
        <v>#DIV/0!</v>
      </c>
      <c r="I14" s="40">
        <f t="shared" si="1"/>
        <v>0</v>
      </c>
      <c r="K14" s="5">
        <v>0</v>
      </c>
      <c r="L14" s="5">
        <v>0</v>
      </c>
      <c r="M14" s="5"/>
      <c r="N14" s="5"/>
      <c r="O14" s="45">
        <f t="shared" si="2"/>
        <v>0</v>
      </c>
    </row>
    <row r="15" spans="1:15">
      <c r="A15" s="3" t="s">
        <v>4</v>
      </c>
      <c r="B15" s="3" t="s">
        <v>7</v>
      </c>
      <c r="C15" s="3" t="s">
        <v>33</v>
      </c>
      <c r="D15" s="3">
        <v>79</v>
      </c>
      <c r="E15" s="3">
        <v>0</v>
      </c>
      <c r="F15" s="3">
        <v>0</v>
      </c>
      <c r="H15" s="40" t="e">
        <f t="shared" si="0"/>
        <v>#DIV/0!</v>
      </c>
      <c r="I15" s="40">
        <f t="shared" si="1"/>
        <v>0</v>
      </c>
      <c r="K15" s="5">
        <v>0</v>
      </c>
      <c r="L15" s="5">
        <v>0</v>
      </c>
      <c r="M15" s="5"/>
      <c r="N15" s="5"/>
      <c r="O15" s="45">
        <f t="shared" si="2"/>
        <v>0</v>
      </c>
    </row>
    <row r="16" spans="1:15">
      <c r="A16" s="3" t="s">
        <v>4</v>
      </c>
      <c r="B16" s="3" t="s">
        <v>7</v>
      </c>
      <c r="C16" s="3" t="s">
        <v>44</v>
      </c>
      <c r="D16" s="3">
        <v>80</v>
      </c>
      <c r="E16" s="3">
        <v>0</v>
      </c>
      <c r="F16" s="3">
        <v>0</v>
      </c>
      <c r="H16" s="40" t="e">
        <f t="shared" si="0"/>
        <v>#DIV/0!</v>
      </c>
      <c r="I16" s="40">
        <f t="shared" si="1"/>
        <v>0</v>
      </c>
      <c r="K16" s="5">
        <v>0</v>
      </c>
      <c r="L16" s="5">
        <v>0</v>
      </c>
      <c r="M16" s="5"/>
      <c r="N16" s="5"/>
      <c r="O16" s="45">
        <f t="shared" si="2"/>
        <v>0</v>
      </c>
    </row>
    <row r="17" spans="1:15">
      <c r="A17" s="3" t="s">
        <v>4</v>
      </c>
      <c r="B17" s="3" t="s">
        <v>7</v>
      </c>
      <c r="C17" s="3" t="s">
        <v>40</v>
      </c>
      <c r="D17" s="3">
        <v>81</v>
      </c>
      <c r="E17" s="3">
        <v>0</v>
      </c>
      <c r="F17" s="3">
        <v>0</v>
      </c>
      <c r="H17" s="40" t="e">
        <f t="shared" si="0"/>
        <v>#DIV/0!</v>
      </c>
      <c r="I17" s="40">
        <f t="shared" si="1"/>
        <v>0</v>
      </c>
      <c r="K17" s="5">
        <v>0</v>
      </c>
      <c r="L17" s="5">
        <v>0</v>
      </c>
      <c r="M17" s="5"/>
      <c r="N17" s="5"/>
      <c r="O17" s="45">
        <f t="shared" si="2"/>
        <v>0</v>
      </c>
    </row>
    <row r="18" spans="1:15">
      <c r="A18" s="3" t="s">
        <v>4</v>
      </c>
      <c r="B18" s="3" t="s">
        <v>11</v>
      </c>
      <c r="C18" s="3" t="s">
        <v>16</v>
      </c>
      <c r="D18" s="3">
        <v>100</v>
      </c>
      <c r="E18" s="3">
        <v>0</v>
      </c>
      <c r="F18" s="3">
        <v>14285</v>
      </c>
      <c r="H18" s="40" t="e">
        <f t="shared" si="0"/>
        <v>#DIV/0!</v>
      </c>
      <c r="I18" s="40">
        <f t="shared" si="1"/>
        <v>0.11898514872102418</v>
      </c>
      <c r="K18" s="5">
        <v>0</v>
      </c>
      <c r="L18" s="5">
        <v>0.11898514872102418</v>
      </c>
      <c r="M18" s="5"/>
      <c r="N18" s="5"/>
      <c r="O18" s="45">
        <f t="shared" si="2"/>
        <v>0.11898514872102418</v>
      </c>
    </row>
    <row r="19" spans="1:15">
      <c r="A19" s="3" t="s">
        <v>4</v>
      </c>
      <c r="B19" s="3" t="s">
        <v>11</v>
      </c>
      <c r="C19" s="3" t="s">
        <v>26</v>
      </c>
      <c r="D19" s="3">
        <v>101</v>
      </c>
      <c r="E19" s="3">
        <v>0</v>
      </c>
      <c r="F19" s="3">
        <v>0</v>
      </c>
      <c r="H19" s="40" t="e">
        <f t="shared" si="0"/>
        <v>#DIV/0!</v>
      </c>
      <c r="I19" s="40">
        <f t="shared" si="1"/>
        <v>0</v>
      </c>
      <c r="K19" s="5">
        <v>0</v>
      </c>
      <c r="L19" s="5">
        <v>0</v>
      </c>
      <c r="M19" s="5"/>
      <c r="N19" s="5"/>
      <c r="O19" s="45">
        <f t="shared" si="2"/>
        <v>0</v>
      </c>
    </row>
    <row r="20" spans="1:15">
      <c r="A20" s="3" t="s">
        <v>4</v>
      </c>
      <c r="B20" s="3" t="s">
        <v>11</v>
      </c>
      <c r="C20" s="3" t="s">
        <v>27</v>
      </c>
      <c r="D20" s="3">
        <v>102</v>
      </c>
      <c r="E20" s="3">
        <v>0</v>
      </c>
      <c r="F20" s="3">
        <v>47300</v>
      </c>
      <c r="H20" s="40" t="e">
        <f t="shared" si="0"/>
        <v>#DIV/0!</v>
      </c>
      <c r="I20" s="40">
        <f t="shared" si="1"/>
        <v>0.39397952639163064</v>
      </c>
      <c r="K20" s="5">
        <v>0</v>
      </c>
      <c r="L20" s="5">
        <v>0.39397952639163064</v>
      </c>
      <c r="M20" s="5"/>
      <c r="N20" s="5"/>
      <c r="O20" s="45">
        <f t="shared" si="2"/>
        <v>0.39397952639163064</v>
      </c>
    </row>
    <row r="21" spans="1:15">
      <c r="A21" s="3" t="s">
        <v>4</v>
      </c>
      <c r="B21" s="3" t="s">
        <v>11</v>
      </c>
      <c r="C21" s="3" t="s">
        <v>35</v>
      </c>
      <c r="D21" s="3">
        <v>103</v>
      </c>
      <c r="E21" s="3">
        <v>0</v>
      </c>
      <c r="F21" s="3">
        <v>599</v>
      </c>
      <c r="H21" s="40" t="e">
        <f t="shared" si="0"/>
        <v>#DIV/0!</v>
      </c>
      <c r="I21" s="40">
        <f t="shared" si="1"/>
        <v>4.989296750710079E-3</v>
      </c>
      <c r="K21" s="5">
        <v>0</v>
      </c>
      <c r="L21" s="5">
        <v>4.989296750710079E-3</v>
      </c>
      <c r="M21" s="5"/>
      <c r="N21" s="5"/>
      <c r="O21" s="45">
        <f t="shared" si="2"/>
        <v>4.989296750710079E-3</v>
      </c>
    </row>
    <row r="22" spans="1:15">
      <c r="A22" s="3" t="s">
        <v>4</v>
      </c>
      <c r="B22" s="3" t="s">
        <v>11</v>
      </c>
      <c r="C22" s="3" t="s">
        <v>11</v>
      </c>
      <c r="D22" s="3">
        <v>104</v>
      </c>
      <c r="E22" s="3">
        <v>0</v>
      </c>
      <c r="F22" s="3">
        <v>1460</v>
      </c>
      <c r="H22" s="40" t="e">
        <f t="shared" si="0"/>
        <v>#DIV/0!</v>
      </c>
      <c r="I22" s="40">
        <f t="shared" si="1"/>
        <v>1.2160890243800862E-2</v>
      </c>
      <c r="K22" s="5">
        <v>0</v>
      </c>
      <c r="L22" s="5">
        <v>1.2160890243800862E-2</v>
      </c>
      <c r="M22" s="5"/>
      <c r="N22" s="5"/>
      <c r="O22" s="45">
        <f t="shared" si="2"/>
        <v>1.2160890243800862E-2</v>
      </c>
    </row>
    <row r="23" spans="1:15">
      <c r="A23" s="3" t="s">
        <v>4</v>
      </c>
      <c r="B23" s="3" t="s">
        <v>11</v>
      </c>
      <c r="C23" s="3" t="s">
        <v>24</v>
      </c>
      <c r="D23" s="3">
        <v>105</v>
      </c>
      <c r="E23" s="3">
        <v>0</v>
      </c>
      <c r="F23" s="3">
        <v>0</v>
      </c>
      <c r="H23" s="40" t="e">
        <f t="shared" si="0"/>
        <v>#DIV/0!</v>
      </c>
      <c r="I23" s="40">
        <f t="shared" si="1"/>
        <v>0</v>
      </c>
      <c r="K23" s="5">
        <v>0</v>
      </c>
      <c r="L23" s="5">
        <v>0</v>
      </c>
      <c r="M23" s="5"/>
      <c r="N23" s="5"/>
      <c r="O23" s="45">
        <f t="shared" si="2"/>
        <v>0</v>
      </c>
    </row>
    <row r="24" spans="1:15">
      <c r="A24" s="3" t="s">
        <v>4</v>
      </c>
      <c r="B24" s="3" t="s">
        <v>11</v>
      </c>
      <c r="C24" s="3" t="s">
        <v>20</v>
      </c>
      <c r="D24" s="3">
        <v>106</v>
      </c>
      <c r="E24" s="3">
        <v>0</v>
      </c>
      <c r="F24" s="3">
        <v>43796</v>
      </c>
      <c r="H24" s="40" t="e">
        <f t="shared" si="0"/>
        <v>#DIV/0!</v>
      </c>
      <c r="I24" s="40">
        <f t="shared" si="1"/>
        <v>0.36479338980650855</v>
      </c>
      <c r="K24" s="5">
        <v>0</v>
      </c>
      <c r="L24" s="5">
        <v>0.36479338980650855</v>
      </c>
      <c r="M24" s="5"/>
      <c r="N24" s="5"/>
      <c r="O24" s="45">
        <f t="shared" si="2"/>
        <v>0.36479338980650855</v>
      </c>
    </row>
    <row r="25" spans="1:15">
      <c r="A25" s="3" t="s">
        <v>4</v>
      </c>
      <c r="B25" s="3" t="s">
        <v>11</v>
      </c>
      <c r="C25" s="3" t="s">
        <v>23</v>
      </c>
      <c r="D25" s="3">
        <v>107</v>
      </c>
      <c r="E25" s="3">
        <v>0</v>
      </c>
      <c r="F25" s="3">
        <v>0</v>
      </c>
      <c r="H25" s="40" t="e">
        <f t="shared" si="0"/>
        <v>#DIV/0!</v>
      </c>
      <c r="I25" s="40">
        <f t="shared" si="1"/>
        <v>0</v>
      </c>
      <c r="K25" s="5">
        <v>0</v>
      </c>
      <c r="L25" s="5">
        <v>0</v>
      </c>
      <c r="M25" s="5"/>
      <c r="N25" s="5"/>
      <c r="O25" s="45">
        <f t="shared" si="2"/>
        <v>0</v>
      </c>
    </row>
    <row r="26" spans="1:15">
      <c r="A26" s="3" t="s">
        <v>4</v>
      </c>
      <c r="B26" s="3" t="s">
        <v>11</v>
      </c>
      <c r="C26" s="3" t="s">
        <v>36</v>
      </c>
      <c r="D26" s="3">
        <v>108</v>
      </c>
      <c r="E26" s="3">
        <v>0</v>
      </c>
      <c r="F26" s="3">
        <v>11195</v>
      </c>
      <c r="H26" s="40" t="e">
        <f t="shared" si="0"/>
        <v>#DIV/0!</v>
      </c>
      <c r="I26" s="40">
        <f t="shared" si="1"/>
        <v>9.3247374163938801E-2</v>
      </c>
      <c r="K26" s="5">
        <v>0</v>
      </c>
      <c r="L26" s="5">
        <v>9.3247374163938801E-2</v>
      </c>
      <c r="M26" s="5"/>
      <c r="N26" s="5"/>
      <c r="O26" s="45">
        <f t="shared" si="2"/>
        <v>9.3247374163938801E-2</v>
      </c>
    </row>
    <row r="27" spans="1:15">
      <c r="A27" s="3" t="s">
        <v>4</v>
      </c>
      <c r="B27" s="3" t="s">
        <v>11</v>
      </c>
      <c r="C27" s="3" t="s">
        <v>12</v>
      </c>
      <c r="D27" s="3">
        <v>109</v>
      </c>
      <c r="E27" s="3">
        <v>0</v>
      </c>
      <c r="F27" s="3">
        <v>620</v>
      </c>
      <c r="H27" s="40" t="e">
        <f t="shared" si="0"/>
        <v>#DIV/0!</v>
      </c>
      <c r="I27" s="40">
        <f t="shared" si="1"/>
        <v>5.1642136651757079E-3</v>
      </c>
      <c r="K27" s="5">
        <v>0</v>
      </c>
      <c r="L27" s="5">
        <v>5.1642136651757079E-3</v>
      </c>
      <c r="M27" s="5"/>
      <c r="N27" s="5"/>
      <c r="O27" s="45">
        <f t="shared" si="2"/>
        <v>5.1642136651757079E-3</v>
      </c>
    </row>
    <row r="28" spans="1:15">
      <c r="A28" s="3" t="s">
        <v>4</v>
      </c>
      <c r="B28" s="3" t="s">
        <v>11</v>
      </c>
      <c r="C28" s="3" t="s">
        <v>15</v>
      </c>
      <c r="D28" s="3">
        <v>110</v>
      </c>
      <c r="E28" s="3">
        <v>0</v>
      </c>
      <c r="F28" s="3">
        <v>8580</v>
      </c>
      <c r="H28" s="40" t="e">
        <f t="shared" si="0"/>
        <v>#DIV/0!</v>
      </c>
      <c r="I28" s="40">
        <f t="shared" si="1"/>
        <v>7.1466053624528347E-2</v>
      </c>
      <c r="K28" s="5">
        <v>0</v>
      </c>
      <c r="L28" s="5">
        <v>7.1466053624528347E-2</v>
      </c>
      <c r="M28" s="5"/>
      <c r="N28" s="5"/>
      <c r="O28" s="45">
        <f t="shared" si="2"/>
        <v>7.1466053624528347E-2</v>
      </c>
    </row>
    <row r="29" spans="1:15">
      <c r="A29" s="3" t="s">
        <v>4</v>
      </c>
      <c r="B29" s="3" t="s">
        <v>11</v>
      </c>
      <c r="C29" s="3" t="s">
        <v>43</v>
      </c>
      <c r="D29" s="3">
        <v>111</v>
      </c>
      <c r="E29" s="3">
        <v>0</v>
      </c>
      <c r="F29" s="3">
        <v>0</v>
      </c>
      <c r="H29" s="40" t="e">
        <f t="shared" si="0"/>
        <v>#DIV/0!</v>
      </c>
      <c r="I29" s="40">
        <f t="shared" si="1"/>
        <v>0</v>
      </c>
      <c r="K29" s="5">
        <v>0</v>
      </c>
      <c r="L29" s="5">
        <v>0</v>
      </c>
      <c r="M29" s="5"/>
      <c r="N29" s="5"/>
      <c r="O29" s="45">
        <f t="shared" si="2"/>
        <v>0</v>
      </c>
    </row>
    <row r="30" spans="1:15">
      <c r="A30" s="3" t="s">
        <v>4</v>
      </c>
      <c r="B30" s="3" t="s">
        <v>11</v>
      </c>
      <c r="C30" s="3" t="s">
        <v>22</v>
      </c>
      <c r="D30" s="3">
        <v>112</v>
      </c>
      <c r="E30" s="3">
        <v>0</v>
      </c>
      <c r="F30" s="3">
        <v>0</v>
      </c>
      <c r="H30" s="40" t="e">
        <f t="shared" si="0"/>
        <v>#DIV/0!</v>
      </c>
      <c r="I30" s="40">
        <f t="shared" si="1"/>
        <v>0</v>
      </c>
      <c r="K30" s="5">
        <v>0</v>
      </c>
      <c r="L30" s="5">
        <v>0</v>
      </c>
      <c r="M30" s="5"/>
      <c r="N30" s="5"/>
      <c r="O30" s="45">
        <f t="shared" si="2"/>
        <v>0</v>
      </c>
    </row>
    <row r="31" spans="1:15">
      <c r="A31" s="3" t="s">
        <v>4</v>
      </c>
      <c r="B31" s="3" t="s">
        <v>5</v>
      </c>
      <c r="C31" s="3" t="s">
        <v>6</v>
      </c>
      <c r="D31" s="3">
        <v>139</v>
      </c>
      <c r="E31" s="3">
        <v>0</v>
      </c>
      <c r="F31" s="3">
        <v>1200</v>
      </c>
      <c r="H31" s="40" t="e">
        <f t="shared" si="0"/>
        <v>#DIV/0!</v>
      </c>
      <c r="I31" s="40">
        <f t="shared" si="1"/>
        <v>9.9952522551787909E-3</v>
      </c>
      <c r="K31" s="5">
        <v>0</v>
      </c>
      <c r="L31" s="5">
        <v>9.9952522551787909E-3</v>
      </c>
      <c r="M31" s="5"/>
      <c r="N31" s="5"/>
      <c r="O31" s="45">
        <f t="shared" si="2"/>
        <v>9.9952522551787909E-3</v>
      </c>
    </row>
    <row r="32" spans="1:15">
      <c r="A32" s="3" t="s">
        <v>4</v>
      </c>
      <c r="B32" s="3" t="s">
        <v>5</v>
      </c>
      <c r="C32" s="3" t="s">
        <v>25</v>
      </c>
      <c r="D32" s="3">
        <v>140</v>
      </c>
      <c r="E32" s="3">
        <v>0</v>
      </c>
      <c r="F32" s="3">
        <v>0</v>
      </c>
      <c r="H32" s="40" t="e">
        <f t="shared" si="0"/>
        <v>#DIV/0!</v>
      </c>
      <c r="I32" s="40">
        <f t="shared" si="1"/>
        <v>0</v>
      </c>
      <c r="K32" s="5">
        <v>0</v>
      </c>
      <c r="L32" s="5">
        <v>0</v>
      </c>
      <c r="M32" s="5"/>
      <c r="N32" s="5"/>
      <c r="O32" s="45">
        <f t="shared" si="2"/>
        <v>0</v>
      </c>
    </row>
    <row r="33" spans="1:15">
      <c r="A33" s="3" t="s">
        <v>4</v>
      </c>
      <c r="B33" s="3" t="s">
        <v>5</v>
      </c>
      <c r="C33" s="3" t="s">
        <v>28</v>
      </c>
      <c r="D33" s="3">
        <v>141</v>
      </c>
      <c r="E33" s="3">
        <v>0</v>
      </c>
      <c r="F33" s="3">
        <v>120057</v>
      </c>
      <c r="H33" s="40" t="e">
        <f t="shared" si="0"/>
        <v>#DIV/0!</v>
      </c>
      <c r="I33" s="40">
        <f t="shared" si="1"/>
        <v>1</v>
      </c>
      <c r="K33" s="5">
        <v>0</v>
      </c>
      <c r="L33" s="5">
        <v>1</v>
      </c>
      <c r="M33" s="5"/>
      <c r="N33" s="5"/>
      <c r="O33" s="45">
        <f t="shared" si="2"/>
        <v>1</v>
      </c>
    </row>
    <row r="34" spans="1:15">
      <c r="A34" s="3" t="s">
        <v>4</v>
      </c>
      <c r="B34" s="3" t="s">
        <v>5</v>
      </c>
      <c r="C34" s="3" t="s">
        <v>9</v>
      </c>
      <c r="D34" s="3">
        <v>142</v>
      </c>
      <c r="E34" s="3">
        <v>0</v>
      </c>
      <c r="F34" s="3">
        <v>2906</v>
      </c>
      <c r="H34" s="40" t="e">
        <f t="shared" si="0"/>
        <v>#DIV/0!</v>
      </c>
      <c r="I34" s="40">
        <f t="shared" si="1"/>
        <v>2.4205169211291303E-2</v>
      </c>
      <c r="K34" s="5">
        <v>0</v>
      </c>
      <c r="L34" s="5">
        <v>2.4205169211291303E-2</v>
      </c>
      <c r="M34" s="5"/>
      <c r="N34" s="5"/>
      <c r="O34" s="45">
        <f t="shared" si="2"/>
        <v>2.4205169211291303E-2</v>
      </c>
    </row>
    <row r="35" spans="1:15">
      <c r="A35" s="3" t="s">
        <v>4</v>
      </c>
      <c r="B35" s="3" t="s">
        <v>5</v>
      </c>
      <c r="C35" s="3" t="s">
        <v>29</v>
      </c>
      <c r="D35" s="3">
        <v>143</v>
      </c>
      <c r="E35" s="3">
        <v>0</v>
      </c>
      <c r="F35" s="3">
        <v>16255</v>
      </c>
      <c r="H35" s="40" t="e">
        <f t="shared" si="0"/>
        <v>#DIV/0!</v>
      </c>
      <c r="I35" s="40">
        <f t="shared" si="1"/>
        <v>0.13539402117327604</v>
      </c>
      <c r="K35" s="5">
        <v>0</v>
      </c>
      <c r="L35" s="5">
        <v>0.13539402117327604</v>
      </c>
      <c r="M35" s="5"/>
      <c r="N35" s="5"/>
      <c r="O35" s="45">
        <f t="shared" si="2"/>
        <v>0.13539402117327604</v>
      </c>
    </row>
    <row r="36" spans="1:15">
      <c r="A36" s="3" t="s">
        <v>4</v>
      </c>
      <c r="B36" s="3" t="s">
        <v>5</v>
      </c>
      <c r="C36" s="3" t="s">
        <v>17</v>
      </c>
      <c r="D36" s="3">
        <v>144</v>
      </c>
      <c r="E36" s="3">
        <v>0</v>
      </c>
      <c r="F36" s="3">
        <v>1947</v>
      </c>
      <c r="H36" s="40" t="e">
        <f t="shared" si="0"/>
        <v>#DIV/0!</v>
      </c>
      <c r="I36" s="40">
        <f t="shared" si="1"/>
        <v>1.6217296784027588E-2</v>
      </c>
      <c r="K36" s="5">
        <v>0</v>
      </c>
      <c r="L36" s="5">
        <v>1.6217296784027588E-2</v>
      </c>
      <c r="M36" s="5"/>
      <c r="N36" s="5"/>
      <c r="O36" s="45">
        <f t="shared" si="2"/>
        <v>1.6217296784027588E-2</v>
      </c>
    </row>
    <row r="37" spans="1:15">
      <c r="A37" s="3" t="s">
        <v>4</v>
      </c>
      <c r="B37" s="3" t="s">
        <v>5</v>
      </c>
      <c r="C37" s="3" t="s">
        <v>39</v>
      </c>
      <c r="D37" s="3">
        <v>145</v>
      </c>
      <c r="E37" s="3">
        <v>0</v>
      </c>
      <c r="F37" s="3">
        <v>72</v>
      </c>
      <c r="H37" s="40" t="e">
        <f t="shared" si="0"/>
        <v>#DIV/0!</v>
      </c>
      <c r="I37" s="40">
        <f t="shared" si="1"/>
        <v>5.9971513531072737E-4</v>
      </c>
      <c r="K37" s="5">
        <v>0</v>
      </c>
      <c r="L37" s="5">
        <v>5.9971513531072737E-4</v>
      </c>
      <c r="M37" s="5"/>
      <c r="N37" s="5"/>
      <c r="O37" s="45">
        <f t="shared" si="2"/>
        <v>5.9971513531072737E-4</v>
      </c>
    </row>
    <row r="38" spans="1:15">
      <c r="A38" s="3" t="s">
        <v>4</v>
      </c>
      <c r="B38" s="3" t="s">
        <v>5</v>
      </c>
      <c r="C38" s="3" t="s">
        <v>5</v>
      </c>
      <c r="D38" s="3">
        <v>146</v>
      </c>
      <c r="E38" s="3">
        <v>0</v>
      </c>
      <c r="F38" s="3">
        <v>91221</v>
      </c>
      <c r="H38" s="40" t="e">
        <f t="shared" si="0"/>
        <v>#DIV/0!</v>
      </c>
      <c r="I38" s="40">
        <f t="shared" si="1"/>
        <v>0.75981408830805364</v>
      </c>
      <c r="K38" s="5">
        <v>0</v>
      </c>
      <c r="L38" s="5">
        <v>0.75981408830805364</v>
      </c>
      <c r="M38" s="5"/>
      <c r="N38" s="5"/>
      <c r="O38" s="45">
        <f t="shared" si="2"/>
        <v>0.75981408830805364</v>
      </c>
    </row>
    <row r="39" spans="1:15">
      <c r="A39" s="3" t="s">
        <v>4</v>
      </c>
      <c r="B39" s="3" t="s">
        <v>5</v>
      </c>
      <c r="C39" s="3" t="s">
        <v>31</v>
      </c>
      <c r="D39" s="3">
        <v>147</v>
      </c>
      <c r="E39" s="3">
        <v>0</v>
      </c>
      <c r="F39" s="3">
        <v>3200</v>
      </c>
      <c r="H39" s="40" t="e">
        <f t="shared" si="0"/>
        <v>#DIV/0!</v>
      </c>
      <c r="I39" s="40">
        <f t="shared" si="1"/>
        <v>2.6654006013810107E-2</v>
      </c>
      <c r="K39" s="5">
        <v>0</v>
      </c>
      <c r="L39" s="5">
        <v>2.6654006013810107E-2</v>
      </c>
      <c r="M39" s="5"/>
      <c r="N39" s="5"/>
      <c r="O39" s="45">
        <f t="shared" si="2"/>
        <v>2.6654006013810103E-2</v>
      </c>
    </row>
    <row r="40" spans="1:15">
      <c r="A40" s="3" t="s">
        <v>4</v>
      </c>
      <c r="B40" s="3" t="s">
        <v>5</v>
      </c>
      <c r="C40" s="3" t="s">
        <v>41</v>
      </c>
      <c r="D40" s="3">
        <v>148</v>
      </c>
      <c r="E40" s="3">
        <v>0</v>
      </c>
      <c r="F40" s="3">
        <v>27000</v>
      </c>
      <c r="H40" s="40" t="e">
        <f t="shared" si="0"/>
        <v>#DIV/0!</v>
      </c>
      <c r="I40" s="40">
        <f t="shared" si="1"/>
        <v>0.22489317574152279</v>
      </c>
      <c r="K40" s="5">
        <v>0</v>
      </c>
      <c r="L40" s="5">
        <v>0.22489317574152279</v>
      </c>
      <c r="M40" s="5"/>
      <c r="N40" s="5"/>
      <c r="O40" s="45">
        <f t="shared" si="2"/>
        <v>0.22489317574152279</v>
      </c>
    </row>
    <row r="41" spans="1:15">
      <c r="A41" s="3" t="s">
        <v>4</v>
      </c>
      <c r="B41" s="3" t="s">
        <v>5</v>
      </c>
      <c r="C41" s="3" t="s">
        <v>42</v>
      </c>
      <c r="D41" s="3">
        <v>149</v>
      </c>
      <c r="E41" s="3">
        <v>0</v>
      </c>
      <c r="F41" s="3">
        <v>1800</v>
      </c>
      <c r="H41" s="40" t="e">
        <f t="shared" si="0"/>
        <v>#DIV/0!</v>
      </c>
      <c r="I41" s="40">
        <f t="shared" si="1"/>
        <v>1.4992878382768185E-2</v>
      </c>
      <c r="K41" s="5">
        <v>0</v>
      </c>
      <c r="L41" s="5">
        <v>1.4992878382768185E-2</v>
      </c>
      <c r="M41" s="5"/>
      <c r="N41" s="5"/>
      <c r="O41" s="45">
        <f t="shared" si="2"/>
        <v>1.4992878382768185E-2</v>
      </c>
    </row>
    <row r="42" spans="1:15">
      <c r="A42" s="3" t="s">
        <v>4</v>
      </c>
      <c r="B42" s="3" t="s">
        <v>5</v>
      </c>
      <c r="C42" s="3" t="s">
        <v>34</v>
      </c>
      <c r="D42" s="3">
        <v>150</v>
      </c>
      <c r="E42" s="3">
        <v>0</v>
      </c>
      <c r="F42" s="3">
        <v>245</v>
      </c>
      <c r="H42" s="40" t="e">
        <f t="shared" si="0"/>
        <v>#DIV/0!</v>
      </c>
      <c r="I42" s="40">
        <f t="shared" si="1"/>
        <v>2.0406973354323362E-3</v>
      </c>
      <c r="K42" s="5">
        <v>0</v>
      </c>
      <c r="L42" s="5">
        <v>2.0406973354323362E-3</v>
      </c>
      <c r="M42" s="5"/>
      <c r="N42" s="5"/>
      <c r="O42" s="45">
        <f t="shared" si="2"/>
        <v>2.0406973354323362E-3</v>
      </c>
    </row>
    <row r="43" spans="1:15">
      <c r="A43" s="3" t="s">
        <v>4</v>
      </c>
      <c r="B43" s="3" t="s">
        <v>5</v>
      </c>
      <c r="C43" s="3" t="s">
        <v>18</v>
      </c>
      <c r="D43" s="3">
        <v>151</v>
      </c>
      <c r="E43" s="3">
        <v>0</v>
      </c>
      <c r="F43" s="3">
        <v>19635</v>
      </c>
      <c r="H43" s="40" t="e">
        <f t="shared" si="0"/>
        <v>#DIV/0!</v>
      </c>
      <c r="I43" s="40">
        <f t="shared" si="1"/>
        <v>0.16354731502536296</v>
      </c>
      <c r="K43" s="5">
        <v>0</v>
      </c>
      <c r="L43" s="5">
        <v>0.16354731502536296</v>
      </c>
      <c r="M43" s="5"/>
      <c r="N43" s="5"/>
      <c r="O43" s="45">
        <f t="shared" si="2"/>
        <v>0.16354731502536296</v>
      </c>
    </row>
    <row r="44" spans="1:15">
      <c r="A44" s="3" t="s">
        <v>4</v>
      </c>
      <c r="B44" s="3" t="s">
        <v>5</v>
      </c>
      <c r="C44" s="3" t="s">
        <v>30</v>
      </c>
      <c r="D44" s="3">
        <v>152</v>
      </c>
      <c r="E44" s="3">
        <v>0</v>
      </c>
      <c r="F44" s="3">
        <v>280</v>
      </c>
      <c r="H44" s="40" t="e">
        <f t="shared" si="0"/>
        <v>#DIV/0!</v>
      </c>
      <c r="I44" s="40">
        <f t="shared" si="1"/>
        <v>2.3322255262083844E-3</v>
      </c>
      <c r="K44" s="5">
        <v>0</v>
      </c>
      <c r="L44" s="5">
        <v>2.3322255262083844E-3</v>
      </c>
      <c r="M44" s="5"/>
      <c r="N44" s="5"/>
      <c r="O44" s="45">
        <f t="shared" si="2"/>
        <v>2.3322255262083844E-3</v>
      </c>
    </row>
  </sheetData>
  <mergeCells count="1">
    <mergeCell ref="K3:N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5B4B-B0D6-4A69-B568-F967E4F5E9EC}">
  <sheetPr>
    <tabColor rgb="FFFF0000"/>
  </sheetPr>
  <dimension ref="A1:N43"/>
  <sheetViews>
    <sheetView workbookViewId="0">
      <selection activeCell="P11" sqref="P11"/>
    </sheetView>
  </sheetViews>
  <sheetFormatPr defaultRowHeight="14.25"/>
  <cols>
    <col min="5" max="5" width="12.25" customWidth="1"/>
    <col min="8" max="8" width="5" customWidth="1"/>
    <col min="11" max="11" width="11.5" customWidth="1"/>
  </cols>
  <sheetData>
    <row r="1" spans="1:14" ht="15">
      <c r="E1" s="51" t="s">
        <v>114</v>
      </c>
      <c r="F1" s="18"/>
      <c r="G1" s="18"/>
      <c r="H1" s="18"/>
      <c r="I1" s="18"/>
      <c r="J1" s="18"/>
      <c r="K1" s="18"/>
      <c r="L1" s="18"/>
      <c r="M1" s="18"/>
      <c r="N1" s="18"/>
    </row>
    <row r="3" spans="1:14" ht="90">
      <c r="A3" s="2" t="s">
        <v>0</v>
      </c>
      <c r="B3" s="2" t="s">
        <v>1</v>
      </c>
      <c r="C3" s="2" t="s">
        <v>2</v>
      </c>
      <c r="D3" s="2" t="s">
        <v>3</v>
      </c>
      <c r="E3" s="47" t="s">
        <v>107</v>
      </c>
      <c r="F3" s="47" t="s">
        <v>67</v>
      </c>
      <c r="G3" s="47" t="s">
        <v>70</v>
      </c>
      <c r="H3" s="19"/>
      <c r="I3" s="48" t="s">
        <v>108</v>
      </c>
      <c r="J3" s="48" t="s">
        <v>109</v>
      </c>
      <c r="K3" s="48" t="s">
        <v>110</v>
      </c>
      <c r="L3" s="48" t="s">
        <v>111</v>
      </c>
      <c r="M3" s="48" t="s">
        <v>112</v>
      </c>
      <c r="N3" s="48" t="s">
        <v>113</v>
      </c>
    </row>
    <row r="4" spans="1:14">
      <c r="A4" s="3" t="s">
        <v>4</v>
      </c>
      <c r="B4" s="3" t="s">
        <v>7</v>
      </c>
      <c r="C4" s="3" t="s">
        <v>7</v>
      </c>
      <c r="D4" s="3">
        <v>69</v>
      </c>
      <c r="E4" s="49">
        <v>0</v>
      </c>
      <c r="F4" s="49">
        <v>0.85205479452054789</v>
      </c>
      <c r="G4" s="49">
        <v>0.66666666666666663</v>
      </c>
      <c r="H4" s="4"/>
      <c r="I4" s="50">
        <v>0</v>
      </c>
      <c r="J4" s="50">
        <v>0</v>
      </c>
      <c r="K4" s="50">
        <v>0</v>
      </c>
      <c r="L4" s="50">
        <v>8.4502281561602162E-4</v>
      </c>
      <c r="M4" s="50">
        <v>0.10024277728576152</v>
      </c>
      <c r="N4" s="50">
        <v>0</v>
      </c>
    </row>
    <row r="5" spans="1:14">
      <c r="A5" s="3" t="s">
        <v>4</v>
      </c>
      <c r="B5" s="3" t="s">
        <v>7</v>
      </c>
      <c r="C5" s="3" t="s">
        <v>14</v>
      </c>
      <c r="D5" s="3">
        <v>70</v>
      </c>
      <c r="E5" s="49">
        <v>0</v>
      </c>
      <c r="F5" s="49">
        <v>1</v>
      </c>
      <c r="G5" s="49">
        <v>0.73333333333333328</v>
      </c>
      <c r="H5" s="4"/>
      <c r="I5" s="50">
        <v>0</v>
      </c>
      <c r="J5" s="50">
        <v>0</v>
      </c>
      <c r="K5" s="50">
        <v>0</v>
      </c>
      <c r="L5" s="50">
        <v>1.6900456312320432E-3</v>
      </c>
      <c r="M5" s="50">
        <v>0.16788386110469161</v>
      </c>
      <c r="N5" s="50">
        <v>0</v>
      </c>
    </row>
    <row r="6" spans="1:14">
      <c r="A6" s="3" t="s">
        <v>4</v>
      </c>
      <c r="B6" s="3" t="s">
        <v>7</v>
      </c>
      <c r="C6" s="3" t="s">
        <v>38</v>
      </c>
      <c r="D6" s="3">
        <v>71</v>
      </c>
      <c r="E6" s="49">
        <v>0.4</v>
      </c>
      <c r="F6" s="49">
        <v>0.80273972602739718</v>
      </c>
      <c r="G6" s="49">
        <v>0.66666666666666663</v>
      </c>
      <c r="H6" s="4"/>
      <c r="I6" s="50">
        <v>0.22278686424392538</v>
      </c>
      <c r="J6" s="50">
        <v>0.20627251595951687</v>
      </c>
      <c r="K6" s="50">
        <v>0</v>
      </c>
      <c r="L6" s="50">
        <v>0.11644414399188778</v>
      </c>
      <c r="M6" s="50">
        <v>0.23038233091998553</v>
      </c>
      <c r="N6" s="50">
        <v>0.41978148361127082</v>
      </c>
    </row>
    <row r="7" spans="1:14">
      <c r="A7" s="3" t="s">
        <v>4</v>
      </c>
      <c r="B7" s="3" t="s">
        <v>7</v>
      </c>
      <c r="C7" s="3" t="s">
        <v>8</v>
      </c>
      <c r="D7" s="3">
        <v>72</v>
      </c>
      <c r="E7" s="49">
        <v>0.125</v>
      </c>
      <c r="F7" s="49">
        <v>0.88219178082191774</v>
      </c>
      <c r="G7" s="49">
        <v>0.8</v>
      </c>
      <c r="H7" s="4"/>
      <c r="I7" s="50">
        <v>0.72699321006106687</v>
      </c>
      <c r="J7" s="50">
        <v>0.81244823037363567</v>
      </c>
      <c r="K7" s="50">
        <v>0</v>
      </c>
      <c r="L7" s="50">
        <v>0.54791279364542844</v>
      </c>
      <c r="M7" s="50">
        <v>0.84416160153057274</v>
      </c>
      <c r="N7" s="50">
        <v>0.69648731203007519</v>
      </c>
    </row>
    <row r="8" spans="1:14">
      <c r="A8" s="3" t="s">
        <v>4</v>
      </c>
      <c r="B8" s="3" t="s">
        <v>7</v>
      </c>
      <c r="C8" s="3" t="s">
        <v>37</v>
      </c>
      <c r="D8" s="3">
        <v>73</v>
      </c>
      <c r="E8" s="49">
        <v>0.125</v>
      </c>
      <c r="F8" s="49">
        <v>0.86575342465753435</v>
      </c>
      <c r="G8" s="49">
        <v>0.8</v>
      </c>
      <c r="H8" s="4"/>
      <c r="I8" s="50">
        <v>0.27270786180979634</v>
      </c>
      <c r="J8" s="50">
        <v>0.44767666370377601</v>
      </c>
      <c r="K8" s="50">
        <v>0</v>
      </c>
      <c r="L8" s="50">
        <v>0.13824573263478113</v>
      </c>
      <c r="M8" s="50">
        <v>0.44775609963155977</v>
      </c>
      <c r="N8" s="50">
        <v>0.69433134982774813</v>
      </c>
    </row>
    <row r="9" spans="1:14">
      <c r="A9" s="3" t="s">
        <v>4</v>
      </c>
      <c r="B9" s="3" t="s">
        <v>7</v>
      </c>
      <c r="C9" s="3" t="s">
        <v>13</v>
      </c>
      <c r="D9" s="3">
        <v>74</v>
      </c>
      <c r="E9" s="49">
        <v>0</v>
      </c>
      <c r="F9" s="49">
        <v>0.9506849315068493</v>
      </c>
      <c r="G9" s="49">
        <v>0.8</v>
      </c>
      <c r="H9" s="4"/>
      <c r="I9" s="50">
        <v>0.21668018960584193</v>
      </c>
      <c r="J9" s="50">
        <v>0.42357235860249937</v>
      </c>
      <c r="K9" s="50">
        <v>0</v>
      </c>
      <c r="L9" s="50">
        <v>0.12692242690552644</v>
      </c>
      <c r="M9" s="50">
        <v>0.60549942511820454</v>
      </c>
      <c r="N9" s="50">
        <v>0.89672841939298398</v>
      </c>
    </row>
    <row r="10" spans="1:14">
      <c r="A10" s="3" t="s">
        <v>4</v>
      </c>
      <c r="B10" s="3" t="s">
        <v>7</v>
      </c>
      <c r="C10" s="3" t="s">
        <v>10</v>
      </c>
      <c r="D10" s="3">
        <v>75</v>
      </c>
      <c r="E10" s="49">
        <v>0</v>
      </c>
      <c r="F10" s="49">
        <v>0.86027397260273963</v>
      </c>
      <c r="G10" s="49">
        <v>0.66666666666666663</v>
      </c>
      <c r="H10" s="4"/>
      <c r="I10" s="50">
        <v>2.1608233334756803E-2</v>
      </c>
      <c r="J10" s="50">
        <v>9.2920457084361516E-2</v>
      </c>
      <c r="K10" s="50">
        <v>0</v>
      </c>
      <c r="L10" s="50">
        <v>5.9151597093121512E-3</v>
      </c>
      <c r="M10" s="50">
        <v>0.12366520530597369</v>
      </c>
      <c r="N10" s="50">
        <v>1</v>
      </c>
    </row>
    <row r="11" spans="1:14">
      <c r="A11" s="3" t="s">
        <v>4</v>
      </c>
      <c r="B11" s="3" t="s">
        <v>7</v>
      </c>
      <c r="C11" s="3" t="s">
        <v>19</v>
      </c>
      <c r="D11" s="3">
        <v>76</v>
      </c>
      <c r="E11" s="49">
        <v>0</v>
      </c>
      <c r="F11" s="49">
        <v>0.94520547945205491</v>
      </c>
      <c r="G11" s="49">
        <v>0.8</v>
      </c>
      <c r="H11" s="4"/>
      <c r="I11" s="50">
        <v>0.11107315198360168</v>
      </c>
      <c r="J11" s="50">
        <v>0.4210294845504457</v>
      </c>
      <c r="K11" s="50">
        <v>0</v>
      </c>
      <c r="L11" s="50">
        <v>8.0953185736014871E-2</v>
      </c>
      <c r="M11" s="50">
        <v>0.6277112117194863</v>
      </c>
      <c r="N11" s="50">
        <v>0.76547481737793144</v>
      </c>
    </row>
    <row r="12" spans="1:14">
      <c r="A12" s="3" t="s">
        <v>4</v>
      </c>
      <c r="B12" s="3" t="s">
        <v>7</v>
      </c>
      <c r="C12" s="3" t="s">
        <v>32</v>
      </c>
      <c r="D12" s="3">
        <v>77</v>
      </c>
      <c r="E12" s="49">
        <v>0</v>
      </c>
      <c r="F12" s="49">
        <v>0.95890410958904115</v>
      </c>
      <c r="G12" s="49">
        <v>0.8</v>
      </c>
      <c r="H12" s="4"/>
      <c r="I12" s="50">
        <v>0</v>
      </c>
      <c r="J12" s="50">
        <v>2.6498104960635008E-4</v>
      </c>
      <c r="K12" s="50">
        <v>0</v>
      </c>
      <c r="L12" s="50">
        <v>1.1830319418624302E-3</v>
      </c>
      <c r="M12" s="50">
        <v>5.2400499975204948E-2</v>
      </c>
      <c r="N12" s="50">
        <v>0</v>
      </c>
    </row>
    <row r="13" spans="1:14">
      <c r="A13" s="3" t="s">
        <v>4</v>
      </c>
      <c r="B13" s="3" t="s">
        <v>7</v>
      </c>
      <c r="C13" s="3" t="s">
        <v>21</v>
      </c>
      <c r="D13" s="3">
        <v>78</v>
      </c>
      <c r="E13" s="49">
        <v>0</v>
      </c>
      <c r="F13" s="49">
        <v>0.82465753424657529</v>
      </c>
      <c r="G13" s="49">
        <v>0.8</v>
      </c>
      <c r="H13" s="4"/>
      <c r="I13" s="50">
        <v>0.4717939958150062</v>
      </c>
      <c r="J13" s="50">
        <v>0.61973859257548447</v>
      </c>
      <c r="K13" s="50">
        <v>0</v>
      </c>
      <c r="L13" s="50">
        <v>0.35997971945242524</v>
      </c>
      <c r="M13" s="50">
        <v>0.83145042339002517</v>
      </c>
      <c r="N13" s="50">
        <v>0.70664373642288192</v>
      </c>
    </row>
    <row r="14" spans="1:14">
      <c r="A14" s="3" t="s">
        <v>4</v>
      </c>
      <c r="B14" s="3" t="s">
        <v>7</v>
      </c>
      <c r="C14" s="3" t="s">
        <v>33</v>
      </c>
      <c r="D14" s="3">
        <v>79</v>
      </c>
      <c r="E14" s="49">
        <v>0</v>
      </c>
      <c r="F14" s="49">
        <v>0.98082191780821926</v>
      </c>
      <c r="G14" s="49">
        <v>0.8</v>
      </c>
      <c r="H14" s="4"/>
      <c r="I14" s="50">
        <v>0</v>
      </c>
      <c r="J14" s="50">
        <v>0</v>
      </c>
      <c r="K14" s="50">
        <v>0</v>
      </c>
      <c r="L14" s="50">
        <v>1.521041068108839E-3</v>
      </c>
      <c r="M14" s="50">
        <v>0.12083195046609034</v>
      </c>
      <c r="N14" s="50">
        <v>0</v>
      </c>
    </row>
    <row r="15" spans="1:14">
      <c r="A15" s="3" t="s">
        <v>4</v>
      </c>
      <c r="B15" s="3" t="s">
        <v>7</v>
      </c>
      <c r="C15" s="3" t="s">
        <v>44</v>
      </c>
      <c r="D15" s="3">
        <v>80</v>
      </c>
      <c r="E15" s="49">
        <v>0</v>
      </c>
      <c r="F15" s="49">
        <v>0.96986301369863015</v>
      </c>
      <c r="G15" s="49">
        <v>0.8</v>
      </c>
      <c r="H15" s="4"/>
      <c r="I15" s="50">
        <v>8.9678438741085543E-4</v>
      </c>
      <c r="J15" s="50">
        <v>6.2701923431320514E-3</v>
      </c>
      <c r="K15" s="50">
        <v>0</v>
      </c>
      <c r="L15" s="50">
        <v>0</v>
      </c>
      <c r="M15" s="50">
        <v>4.3261245419552216E-2</v>
      </c>
      <c r="N15" s="50">
        <v>1</v>
      </c>
    </row>
    <row r="16" spans="1:14">
      <c r="A16" s="3" t="s">
        <v>4</v>
      </c>
      <c r="B16" s="3" t="s">
        <v>7</v>
      </c>
      <c r="C16" s="3" t="s">
        <v>40</v>
      </c>
      <c r="D16" s="3">
        <v>81</v>
      </c>
      <c r="E16" s="49">
        <v>0</v>
      </c>
      <c r="F16" s="49">
        <v>0.98630136986301375</v>
      </c>
      <c r="G16" s="49">
        <v>0.73333333333333328</v>
      </c>
      <c r="H16" s="4"/>
      <c r="I16" s="50">
        <v>0</v>
      </c>
      <c r="J16" s="50">
        <v>0</v>
      </c>
      <c r="K16" s="50">
        <v>0</v>
      </c>
      <c r="L16" s="50">
        <v>2.704073009971269E-3</v>
      </c>
      <c r="M16" s="50">
        <v>0.11613132311810205</v>
      </c>
      <c r="N16" s="50">
        <v>0</v>
      </c>
    </row>
    <row r="17" spans="1:14">
      <c r="A17" s="3" t="s">
        <v>4</v>
      </c>
      <c r="B17" s="3" t="s">
        <v>11</v>
      </c>
      <c r="C17" s="3" t="s">
        <v>16</v>
      </c>
      <c r="D17" s="3">
        <v>100</v>
      </c>
      <c r="E17" s="49">
        <v>0.45</v>
      </c>
      <c r="F17" s="49">
        <v>0.67123287671232879</v>
      </c>
      <c r="G17" s="49">
        <v>0.26666666666666666</v>
      </c>
      <c r="H17" s="4"/>
      <c r="I17" s="50">
        <v>0.74646624247341675</v>
      </c>
      <c r="J17" s="50">
        <v>0.52143775097529721</v>
      </c>
      <c r="K17" s="50">
        <v>0.11898514872102418</v>
      </c>
      <c r="L17" s="50">
        <v>0.60250126753422339</v>
      </c>
      <c r="M17" s="50">
        <v>0.71938085034466603</v>
      </c>
      <c r="N17" s="50">
        <v>0.67848970251716234</v>
      </c>
    </row>
    <row r="18" spans="1:14">
      <c r="A18" s="3" t="s">
        <v>4</v>
      </c>
      <c r="B18" s="3" t="s">
        <v>11</v>
      </c>
      <c r="C18" s="3" t="s">
        <v>26</v>
      </c>
      <c r="D18" s="3">
        <v>101</v>
      </c>
      <c r="E18" s="49">
        <v>0</v>
      </c>
      <c r="F18" s="49">
        <v>0.75068493150684934</v>
      </c>
      <c r="G18" s="49">
        <v>0.73333333333333328</v>
      </c>
      <c r="H18" s="4"/>
      <c r="I18" s="50">
        <v>0.22248793611478843</v>
      </c>
      <c r="J18" s="50">
        <v>0.34068152725443968</v>
      </c>
      <c r="K18" s="50">
        <v>0</v>
      </c>
      <c r="L18" s="50">
        <v>0.11999323981747508</v>
      </c>
      <c r="M18" s="50">
        <v>0.4517546286163468</v>
      </c>
      <c r="N18" s="50">
        <v>0.62955854126679467</v>
      </c>
    </row>
    <row r="19" spans="1:14">
      <c r="A19" s="3" t="s">
        <v>4</v>
      </c>
      <c r="B19" s="3" t="s">
        <v>11</v>
      </c>
      <c r="C19" s="3" t="s">
        <v>27</v>
      </c>
      <c r="D19" s="3">
        <v>102</v>
      </c>
      <c r="E19" s="49">
        <v>0.875</v>
      </c>
      <c r="F19" s="49">
        <v>0.30684931506849317</v>
      </c>
      <c r="G19" s="49">
        <v>0.13333333333333333</v>
      </c>
      <c r="H19" s="4"/>
      <c r="I19" s="50">
        <v>0.95059145065550676</v>
      </c>
      <c r="J19" s="50">
        <v>0.53269022025233492</v>
      </c>
      <c r="K19" s="50">
        <v>0.39397952639163064</v>
      </c>
      <c r="L19" s="50">
        <v>0.6055433496704411</v>
      </c>
      <c r="M19" s="50">
        <v>0.51899980911956611</v>
      </c>
      <c r="N19" s="50">
        <v>0.86972147349505835</v>
      </c>
    </row>
    <row r="20" spans="1:14">
      <c r="A20" s="3" t="s">
        <v>4</v>
      </c>
      <c r="B20" s="3" t="s">
        <v>11</v>
      </c>
      <c r="C20" s="3" t="s">
        <v>35</v>
      </c>
      <c r="D20" s="3">
        <v>103</v>
      </c>
      <c r="E20" s="49">
        <v>0.4</v>
      </c>
      <c r="F20" s="49">
        <v>0.75890410958904109</v>
      </c>
      <c r="G20" s="49">
        <v>0.6</v>
      </c>
      <c r="H20" s="4"/>
      <c r="I20" s="50">
        <v>0.96810009821924248</v>
      </c>
      <c r="J20" s="50">
        <v>0.58100732644833097</v>
      </c>
      <c r="K20" s="50">
        <v>4.989296750710079E-3</v>
      </c>
      <c r="L20" s="50">
        <v>0.74987324657765764</v>
      </c>
      <c r="M20" s="50">
        <v>0.63266780268314859</v>
      </c>
      <c r="N20" s="50">
        <v>0.76091751213056891</v>
      </c>
    </row>
    <row r="21" spans="1:14">
      <c r="A21" s="3" t="s">
        <v>4</v>
      </c>
      <c r="B21" s="3" t="s">
        <v>11</v>
      </c>
      <c r="C21" s="3" t="s">
        <v>11</v>
      </c>
      <c r="D21" s="3">
        <v>104</v>
      </c>
      <c r="E21" s="49">
        <v>0.45</v>
      </c>
      <c r="F21" s="49">
        <v>0.51506849315068493</v>
      </c>
      <c r="G21" s="49">
        <v>0.46666666666666667</v>
      </c>
      <c r="H21" s="4"/>
      <c r="I21" s="50">
        <v>0.77080753298885429</v>
      </c>
      <c r="J21" s="50">
        <v>0.90430412217462497</v>
      </c>
      <c r="K21" s="50">
        <v>1.2160890243800862E-2</v>
      </c>
      <c r="L21" s="50">
        <v>0.38735845867838431</v>
      </c>
      <c r="M21" s="50">
        <v>0.75024760259546663</v>
      </c>
      <c r="N21" s="50">
        <v>0.17229916897506925</v>
      </c>
    </row>
    <row r="22" spans="1:14">
      <c r="A22" s="3" t="s">
        <v>4</v>
      </c>
      <c r="B22" s="3" t="s">
        <v>11</v>
      </c>
      <c r="C22" s="3" t="s">
        <v>24</v>
      </c>
      <c r="D22" s="3">
        <v>105</v>
      </c>
      <c r="E22" s="49">
        <v>0.25</v>
      </c>
      <c r="F22" s="49">
        <v>0.37534246575342467</v>
      </c>
      <c r="G22" s="49">
        <v>0.6</v>
      </c>
      <c r="H22" s="4"/>
      <c r="I22" s="50">
        <v>0.25067258829055816</v>
      </c>
      <c r="J22" s="50">
        <v>0.28864355082902654</v>
      </c>
      <c r="K22" s="50">
        <v>0</v>
      </c>
      <c r="L22" s="50">
        <v>0.10765590670948115</v>
      </c>
      <c r="M22" s="50">
        <v>0.28504406347682737</v>
      </c>
      <c r="N22" s="50">
        <v>0.20613287904599659</v>
      </c>
    </row>
    <row r="23" spans="1:14">
      <c r="A23" s="3" t="s">
        <v>4</v>
      </c>
      <c r="B23" s="3" t="s">
        <v>11</v>
      </c>
      <c r="C23" s="3" t="s">
        <v>20</v>
      </c>
      <c r="D23" s="3">
        <v>106</v>
      </c>
      <c r="E23" s="49">
        <v>0.875</v>
      </c>
      <c r="F23" s="49">
        <v>3.0136986301369829E-2</v>
      </c>
      <c r="G23" s="49">
        <v>0.33333333333333331</v>
      </c>
      <c r="H23" s="4"/>
      <c r="I23" s="50">
        <v>9.9073322799675456E-2</v>
      </c>
      <c r="J23" s="50">
        <v>4.9131136108652586E-2</v>
      </c>
      <c r="K23" s="50">
        <v>0.36479338980650855</v>
      </c>
      <c r="L23" s="50">
        <v>3.0420821362176779E-2</v>
      </c>
      <c r="M23" s="50">
        <v>4.8615010605070473E-2</v>
      </c>
      <c r="N23" s="50">
        <v>0.89224137931034486</v>
      </c>
    </row>
    <row r="24" spans="1:14">
      <c r="A24" s="3" t="s">
        <v>4</v>
      </c>
      <c r="B24" s="3" t="s">
        <v>11</v>
      </c>
      <c r="C24" s="3" t="s">
        <v>23</v>
      </c>
      <c r="D24" s="3">
        <v>107</v>
      </c>
      <c r="E24" s="49">
        <v>0.125</v>
      </c>
      <c r="F24" s="49">
        <v>0.75342465753424659</v>
      </c>
      <c r="G24" s="49">
        <v>0.66666666666666663</v>
      </c>
      <c r="H24" s="4"/>
      <c r="I24" s="50">
        <v>0</v>
      </c>
      <c r="J24" s="50">
        <v>0</v>
      </c>
      <c r="K24" s="50">
        <v>0</v>
      </c>
      <c r="L24" s="50">
        <v>1.1830319418624302E-3</v>
      </c>
      <c r="M24" s="50">
        <v>1.7044942102189983E-2</v>
      </c>
      <c r="N24" s="50">
        <v>0</v>
      </c>
    </row>
    <row r="25" spans="1:14">
      <c r="A25" s="3" t="s">
        <v>4</v>
      </c>
      <c r="B25" s="3" t="s">
        <v>11</v>
      </c>
      <c r="C25" s="3" t="s">
        <v>36</v>
      </c>
      <c r="D25" s="3">
        <v>108</v>
      </c>
      <c r="E25" s="49">
        <v>0.6</v>
      </c>
      <c r="F25" s="49">
        <v>0.65753424657534243</v>
      </c>
      <c r="G25" s="49">
        <v>0.6</v>
      </c>
      <c r="H25" s="4"/>
      <c r="I25" s="50">
        <v>0.53209206986377422</v>
      </c>
      <c r="J25" s="50">
        <v>0.61626445830293963</v>
      </c>
      <c r="K25" s="50">
        <v>9.3247374163938801E-2</v>
      </c>
      <c r="L25" s="50">
        <v>0.39749873246577655</v>
      </c>
      <c r="M25" s="50">
        <v>0.74275649027379154</v>
      </c>
      <c r="N25" s="50">
        <v>0.7399678972712681</v>
      </c>
    </row>
    <row r="26" spans="1:14">
      <c r="A26" s="3" t="s">
        <v>4</v>
      </c>
      <c r="B26" s="3" t="s">
        <v>11</v>
      </c>
      <c r="C26" s="3" t="s">
        <v>12</v>
      </c>
      <c r="D26" s="3">
        <v>109</v>
      </c>
      <c r="E26" s="49">
        <v>0.57499999999999996</v>
      </c>
      <c r="F26" s="49">
        <v>0.29863013698630136</v>
      </c>
      <c r="G26" s="49">
        <v>0.2</v>
      </c>
      <c r="H26" s="4"/>
      <c r="I26" s="50">
        <v>0.7789212964940001</v>
      </c>
      <c r="J26" s="50">
        <v>0.6599323386986895</v>
      </c>
      <c r="K26" s="50">
        <v>5.1642136651757079E-3</v>
      </c>
      <c r="L26" s="50">
        <v>0.46442453946256551</v>
      </c>
      <c r="M26" s="50">
        <v>0.516669037682842</v>
      </c>
      <c r="N26" s="50">
        <v>0.27960526315789475</v>
      </c>
    </row>
    <row r="27" spans="1:14">
      <c r="A27" s="3" t="s">
        <v>4</v>
      </c>
      <c r="B27" s="3" t="s">
        <v>11</v>
      </c>
      <c r="C27" s="3" t="s">
        <v>15</v>
      </c>
      <c r="D27" s="3">
        <v>110</v>
      </c>
      <c r="E27" s="49">
        <v>0.6</v>
      </c>
      <c r="F27" s="49">
        <v>0.66027397260273979</v>
      </c>
      <c r="G27" s="49">
        <v>0.33333333333333331</v>
      </c>
      <c r="H27" s="4"/>
      <c r="I27" s="50">
        <v>0.94418584788828641</v>
      </c>
      <c r="J27" s="50">
        <v>0.65329121436279758</v>
      </c>
      <c r="K27" s="50">
        <v>7.1466053624528347E-2</v>
      </c>
      <c r="L27" s="50">
        <v>1</v>
      </c>
      <c r="M27" s="50">
        <v>0.87557366926546132</v>
      </c>
      <c r="N27" s="50">
        <v>0.30755314337403888</v>
      </c>
    </row>
    <row r="28" spans="1:14">
      <c r="A28" s="3" t="s">
        <v>4</v>
      </c>
      <c r="B28" s="3" t="s">
        <v>11</v>
      </c>
      <c r="C28" s="3" t="s">
        <v>43</v>
      </c>
      <c r="D28" s="3">
        <v>111</v>
      </c>
      <c r="E28" s="49">
        <v>0.125</v>
      </c>
      <c r="F28" s="49">
        <v>0</v>
      </c>
      <c r="G28" s="49">
        <v>0.33333333333333331</v>
      </c>
      <c r="H28" s="4"/>
      <c r="I28" s="50">
        <v>0</v>
      </c>
      <c r="J28" s="50">
        <v>0</v>
      </c>
      <c r="K28" s="50">
        <v>0</v>
      </c>
      <c r="L28" s="50">
        <v>1.6900456312320431E-4</v>
      </c>
      <c r="M28" s="50">
        <v>0</v>
      </c>
      <c r="N28" s="50">
        <v>0</v>
      </c>
    </row>
    <row r="29" spans="1:14">
      <c r="A29" s="3" t="s">
        <v>4</v>
      </c>
      <c r="B29" s="3" t="s">
        <v>11</v>
      </c>
      <c r="C29" s="3" t="s">
        <v>22</v>
      </c>
      <c r="D29" s="3">
        <v>112</v>
      </c>
      <c r="E29" s="49">
        <v>0</v>
      </c>
      <c r="F29" s="49">
        <v>0.50684931506849318</v>
      </c>
      <c r="G29" s="49">
        <v>0.66666666666666663</v>
      </c>
      <c r="H29" s="4"/>
      <c r="I29" s="50">
        <v>1.1957125165478073E-2</v>
      </c>
      <c r="J29" s="50">
        <v>2.5320118342935689E-2</v>
      </c>
      <c r="K29" s="50">
        <v>0</v>
      </c>
      <c r="L29" s="50">
        <v>7.0981916511745815E-3</v>
      </c>
      <c r="M29" s="50">
        <v>5.0885610046238837E-2</v>
      </c>
      <c r="N29" s="50">
        <v>0</v>
      </c>
    </row>
    <row r="30" spans="1:14">
      <c r="A30" s="3" t="s">
        <v>4</v>
      </c>
      <c r="B30" s="3" t="s">
        <v>5</v>
      </c>
      <c r="C30" s="3" t="s">
        <v>6</v>
      </c>
      <c r="D30" s="3">
        <v>139</v>
      </c>
      <c r="E30" s="49">
        <v>0.27500000000000002</v>
      </c>
      <c r="F30" s="49">
        <v>0.8849315068493151</v>
      </c>
      <c r="G30" s="49">
        <v>0.26666666666666666</v>
      </c>
      <c r="H30" s="4"/>
      <c r="I30" s="50">
        <v>0.46871930648674037</v>
      </c>
      <c r="J30" s="50">
        <v>0.64923995274452517</v>
      </c>
      <c r="K30" s="50">
        <v>9.9952522551787909E-3</v>
      </c>
      <c r="L30" s="50">
        <v>0.42876457664356937</v>
      </c>
      <c r="M30" s="50">
        <v>0.94528048574970525</v>
      </c>
      <c r="N30" s="50">
        <v>0.68904883381924198</v>
      </c>
    </row>
    <row r="31" spans="1:14">
      <c r="A31" s="3" t="s">
        <v>4</v>
      </c>
      <c r="B31" s="3" t="s">
        <v>5</v>
      </c>
      <c r="C31" s="3" t="s">
        <v>25</v>
      </c>
      <c r="D31" s="3">
        <v>140</v>
      </c>
      <c r="E31" s="49">
        <v>0</v>
      </c>
      <c r="F31" s="49">
        <v>0.90410958904109584</v>
      </c>
      <c r="G31" s="49">
        <v>0.8</v>
      </c>
      <c r="H31" s="4"/>
      <c r="I31" s="50">
        <v>0.23837383097749501</v>
      </c>
      <c r="J31" s="50">
        <v>0.42633840049955768</v>
      </c>
      <c r="K31" s="50">
        <v>0</v>
      </c>
      <c r="L31" s="50">
        <v>0.10833192496197397</v>
      </c>
      <c r="M31" s="50">
        <v>0.32264054148931526</v>
      </c>
      <c r="N31" s="50">
        <v>0.63651021139376562</v>
      </c>
    </row>
    <row r="32" spans="1:14">
      <c r="A32" s="3" t="s">
        <v>4</v>
      </c>
      <c r="B32" s="3" t="s">
        <v>5</v>
      </c>
      <c r="C32" s="3" t="s">
        <v>28</v>
      </c>
      <c r="D32" s="3">
        <v>141</v>
      </c>
      <c r="E32" s="49">
        <v>0.57499999999999996</v>
      </c>
      <c r="F32" s="49">
        <v>0.86575342465753435</v>
      </c>
      <c r="G32" s="49">
        <v>0.73333333333333328</v>
      </c>
      <c r="H32" s="4"/>
      <c r="I32" s="50">
        <v>0.2936755348678311</v>
      </c>
      <c r="J32" s="50">
        <v>0.39014387013979629</v>
      </c>
      <c r="K32" s="50">
        <v>1</v>
      </c>
      <c r="L32" s="50">
        <v>0.21446679060334628</v>
      </c>
      <c r="M32" s="50">
        <v>0.53909104329373925</v>
      </c>
      <c r="N32" s="50">
        <v>0.88090737240075601</v>
      </c>
    </row>
    <row r="33" spans="1:14">
      <c r="A33" s="3" t="s">
        <v>4</v>
      </c>
      <c r="B33" s="3" t="s">
        <v>5</v>
      </c>
      <c r="C33" s="3" t="s">
        <v>9</v>
      </c>
      <c r="D33" s="3">
        <v>142</v>
      </c>
      <c r="E33" s="49">
        <v>0.27500000000000002</v>
      </c>
      <c r="F33" s="49">
        <v>0.81917808219178079</v>
      </c>
      <c r="G33" s="49">
        <v>0.4</v>
      </c>
      <c r="H33" s="4"/>
      <c r="I33" s="50">
        <v>1</v>
      </c>
      <c r="J33" s="50">
        <v>0.53457243412117628</v>
      </c>
      <c r="K33" s="50">
        <v>2.4205169211291303E-2</v>
      </c>
      <c r="L33" s="50">
        <v>0.62480986986648634</v>
      </c>
      <c r="M33" s="50">
        <v>0.81440507466208867</v>
      </c>
      <c r="N33" s="50">
        <v>0.9209975658709485</v>
      </c>
    </row>
    <row r="34" spans="1:14">
      <c r="A34" s="3" t="s">
        <v>4</v>
      </c>
      <c r="B34" s="3" t="s">
        <v>5</v>
      </c>
      <c r="C34" s="3" t="s">
        <v>29</v>
      </c>
      <c r="D34" s="3">
        <v>143</v>
      </c>
      <c r="E34" s="49">
        <v>0.85</v>
      </c>
      <c r="F34" s="49">
        <v>0.86301369863013699</v>
      </c>
      <c r="G34" s="49">
        <v>0.8</v>
      </c>
      <c r="H34" s="4"/>
      <c r="I34" s="50">
        <v>0.47328863646069097</v>
      </c>
      <c r="J34" s="50">
        <v>0.44555989689986758</v>
      </c>
      <c r="K34" s="50">
        <v>0.13539402117327604</v>
      </c>
      <c r="L34" s="50">
        <v>0.2742944059489606</v>
      </c>
      <c r="M34" s="50">
        <v>0.80863352941124311</v>
      </c>
      <c r="N34" s="50">
        <v>0.90029775331588924</v>
      </c>
    </row>
    <row r="35" spans="1:14">
      <c r="A35" s="3" t="s">
        <v>4</v>
      </c>
      <c r="B35" s="3" t="s">
        <v>5</v>
      </c>
      <c r="C35" s="3" t="s">
        <v>17</v>
      </c>
      <c r="D35" s="3">
        <v>144</v>
      </c>
      <c r="E35" s="49">
        <v>0.3</v>
      </c>
      <c r="F35" s="49">
        <v>0.86575342465753435</v>
      </c>
      <c r="G35" s="49">
        <v>1</v>
      </c>
      <c r="H35" s="4"/>
      <c r="I35" s="50">
        <v>0.79749754451893928</v>
      </c>
      <c r="J35" s="50">
        <v>1</v>
      </c>
      <c r="K35" s="50">
        <v>1.6217296784027588E-2</v>
      </c>
      <c r="L35" s="50">
        <v>0.65928680074362012</v>
      </c>
      <c r="M35" s="50">
        <v>0.96640234555933402</v>
      </c>
      <c r="N35" s="50">
        <v>0.95346720214190084</v>
      </c>
    </row>
    <row r="36" spans="1:14">
      <c r="A36" s="3" t="s">
        <v>4</v>
      </c>
      <c r="B36" s="3" t="s">
        <v>5</v>
      </c>
      <c r="C36" s="3" t="s">
        <v>39</v>
      </c>
      <c r="D36" s="3">
        <v>145</v>
      </c>
      <c r="E36" s="49">
        <v>0.15</v>
      </c>
      <c r="F36" s="49">
        <v>0.81369863013698629</v>
      </c>
      <c r="G36" s="49">
        <v>1</v>
      </c>
      <c r="H36" s="4"/>
      <c r="I36" s="50">
        <v>0.29649400008540805</v>
      </c>
      <c r="J36" s="50">
        <v>0.55033475745561333</v>
      </c>
      <c r="K36" s="50">
        <v>5.9971513531072737E-4</v>
      </c>
      <c r="L36" s="50">
        <v>0.22021294574953523</v>
      </c>
      <c r="M36" s="50">
        <v>0.49376957072305583</v>
      </c>
      <c r="N36" s="50">
        <v>0.79792596860146914</v>
      </c>
    </row>
    <row r="37" spans="1:14">
      <c r="A37" s="3" t="s">
        <v>4</v>
      </c>
      <c r="B37" s="3" t="s">
        <v>5</v>
      </c>
      <c r="C37" s="3" t="s">
        <v>5</v>
      </c>
      <c r="D37" s="3">
        <v>146</v>
      </c>
      <c r="E37" s="49">
        <v>0.57499999999999996</v>
      </c>
      <c r="F37" s="49">
        <v>0.8794520547945206</v>
      </c>
      <c r="G37" s="49">
        <v>0.93333333333333335</v>
      </c>
      <c r="H37" s="4"/>
      <c r="I37" s="50">
        <v>0.23512832557543667</v>
      </c>
      <c r="J37" s="50">
        <v>0.31247517145920367</v>
      </c>
      <c r="K37" s="50">
        <v>0.75981408830805364</v>
      </c>
      <c r="L37" s="50">
        <v>7.3854994084840295E-2</v>
      </c>
      <c r="M37" s="50">
        <v>0.25111912856140661</v>
      </c>
      <c r="N37" s="50">
        <v>1</v>
      </c>
    </row>
    <row r="38" spans="1:14">
      <c r="A38" s="3" t="s">
        <v>4</v>
      </c>
      <c r="B38" s="3" t="s">
        <v>5</v>
      </c>
      <c r="C38" s="3" t="s">
        <v>31</v>
      </c>
      <c r="D38" s="3">
        <v>147</v>
      </c>
      <c r="E38" s="49">
        <v>0.15</v>
      </c>
      <c r="F38" s="49">
        <v>0.84657534246575339</v>
      </c>
      <c r="G38" s="49">
        <v>0.73333333333333328</v>
      </c>
      <c r="H38" s="4"/>
      <c r="I38" s="50">
        <v>0.38536106247597901</v>
      </c>
      <c r="J38" s="50">
        <v>0.79654442426170924</v>
      </c>
      <c r="K38" s="50">
        <v>2.6654006013810107E-2</v>
      </c>
      <c r="L38" s="50">
        <v>0.28139259760013519</v>
      </c>
      <c r="M38" s="50">
        <v>1</v>
      </c>
      <c r="N38" s="50">
        <v>0.79997783687943258</v>
      </c>
    </row>
    <row r="39" spans="1:14">
      <c r="A39" s="3" t="s">
        <v>4</v>
      </c>
      <c r="B39" s="3" t="s">
        <v>5</v>
      </c>
      <c r="C39" s="3" t="s">
        <v>41</v>
      </c>
      <c r="D39" s="3">
        <v>148</v>
      </c>
      <c r="E39" s="49">
        <v>0.55000000000000004</v>
      </c>
      <c r="F39" s="49">
        <v>0.87397260273972599</v>
      </c>
      <c r="G39" s="49">
        <v>0.33333333333333331</v>
      </c>
      <c r="H39" s="4"/>
      <c r="I39" s="50">
        <v>0.72985437929709185</v>
      </c>
      <c r="J39" s="50">
        <v>0.47398323083496213</v>
      </c>
      <c r="K39" s="50">
        <v>0.22489317574152279</v>
      </c>
      <c r="L39" s="50">
        <v>0.47101571742437048</v>
      </c>
      <c r="M39" s="50">
        <v>0.76674328178455564</v>
      </c>
      <c r="N39" s="50">
        <v>0.84728804634017907</v>
      </c>
    </row>
    <row r="40" spans="1:14">
      <c r="A40" s="3" t="s">
        <v>4</v>
      </c>
      <c r="B40" s="3" t="s">
        <v>5</v>
      </c>
      <c r="C40" s="3" t="s">
        <v>42</v>
      </c>
      <c r="D40" s="3">
        <v>149</v>
      </c>
      <c r="E40" s="49">
        <v>0.15</v>
      </c>
      <c r="F40" s="49">
        <v>0.87123287671232874</v>
      </c>
      <c r="G40" s="49">
        <v>1</v>
      </c>
      <c r="H40" s="4"/>
      <c r="I40" s="50">
        <v>0.53670410385617284</v>
      </c>
      <c r="J40" s="50">
        <v>0.71175675127725435</v>
      </c>
      <c r="K40" s="50">
        <v>1.4992878382768185E-2</v>
      </c>
      <c r="L40" s="50">
        <v>0.3282068615852628</v>
      </c>
      <c r="M40" s="50">
        <v>0.85218537371994996</v>
      </c>
      <c r="N40" s="50">
        <v>1</v>
      </c>
    </row>
    <row r="41" spans="1:14">
      <c r="A41" s="3" t="s">
        <v>4</v>
      </c>
      <c r="B41" s="3" t="s">
        <v>5</v>
      </c>
      <c r="C41" s="3" t="s">
        <v>34</v>
      </c>
      <c r="D41" s="3">
        <v>150</v>
      </c>
      <c r="E41" s="49">
        <v>0.27500000000000002</v>
      </c>
      <c r="F41" s="49">
        <v>0.94246575342465755</v>
      </c>
      <c r="G41" s="49">
        <v>6.6666666666666666E-2</v>
      </c>
      <c r="H41" s="4"/>
      <c r="I41" s="50">
        <v>0.69043857026946243</v>
      </c>
      <c r="J41" s="50">
        <v>0.30157155951600079</v>
      </c>
      <c r="K41" s="50">
        <v>2.0406973354323362E-3</v>
      </c>
      <c r="L41" s="50">
        <v>0.37806320770660806</v>
      </c>
      <c r="M41" s="50">
        <v>0.47047210499247788</v>
      </c>
      <c r="N41" s="50">
        <v>0.81729341909945574</v>
      </c>
    </row>
    <row r="42" spans="1:14">
      <c r="A42" s="3" t="s">
        <v>4</v>
      </c>
      <c r="B42" s="3" t="s">
        <v>5</v>
      </c>
      <c r="C42" s="3" t="s">
        <v>18</v>
      </c>
      <c r="D42" s="3">
        <v>151</v>
      </c>
      <c r="E42" s="49">
        <v>0.55000000000000004</v>
      </c>
      <c r="F42" s="49">
        <v>0.9178082191780822</v>
      </c>
      <c r="G42" s="49">
        <v>0.73333333333333328</v>
      </c>
      <c r="H42" s="4"/>
      <c r="I42" s="50">
        <v>2.8526284323354828E-2</v>
      </c>
      <c r="J42" s="50">
        <v>4.8786147484204456E-2</v>
      </c>
      <c r="K42" s="50">
        <v>0.16354731502536296</v>
      </c>
      <c r="L42" s="50">
        <v>2.1463579516646951E-2</v>
      </c>
      <c r="M42" s="50">
        <v>0.11543886905047164</v>
      </c>
      <c r="N42" s="50">
        <v>1</v>
      </c>
    </row>
    <row r="43" spans="1:14">
      <c r="A43" s="3" t="s">
        <v>4</v>
      </c>
      <c r="B43" s="3" t="s">
        <v>5</v>
      </c>
      <c r="C43" s="3" t="s">
        <v>30</v>
      </c>
      <c r="D43" s="3">
        <v>152</v>
      </c>
      <c r="E43" s="49">
        <v>0.15</v>
      </c>
      <c r="F43" s="49">
        <v>0.9671232876712329</v>
      </c>
      <c r="G43" s="49">
        <v>0</v>
      </c>
      <c r="H43" s="4"/>
      <c r="I43" s="50">
        <v>0.79549045565187693</v>
      </c>
      <c r="J43" s="50">
        <v>0.43085099613282507</v>
      </c>
      <c r="K43" s="50">
        <v>2.3322255262083844E-3</v>
      </c>
      <c r="L43" s="50">
        <v>0.63579516646949463</v>
      </c>
      <c r="M43" s="50">
        <v>0.74314516781973761</v>
      </c>
      <c r="N43" s="50">
        <v>0.8042194545844964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Weightages_Paddy_Drought</vt:lpstr>
      <vt:lpstr>Drought_Hazard_Data</vt:lpstr>
      <vt:lpstr>Paddy_Drought_Exposure_Data</vt:lpstr>
      <vt:lpstr>Sheet6</vt:lpstr>
      <vt:lpstr>Final_Drought</vt:lpstr>
      <vt:lpstr>Paddy_Drought_Exposure_Data!Database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2026-08-17T10:34:05Z</dcterms:modified>
</cp:coreProperties>
</file>