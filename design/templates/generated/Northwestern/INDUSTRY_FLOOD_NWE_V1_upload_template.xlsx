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2021-2025 - Industry Sector - Flood - Northwestern Province   [profile INDUSTRY_FLOOD_NWE_V1]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ESTABLISHMENTS_MANUFACTURING_INDUSTRIES</t>
        </is>
      </c>
      <c r="N2" s="4" t="inlineStr">
        <is>
          <t>FLOOD_AFFECTED_ROAD_LENGTH</t>
        </is>
      </c>
      <c r="O2" s="4" t="inlineStr">
        <is>
          <t>INDUSTRIAL_ESTABLISHMENTS_SMALL_INFORMAL_INDUSTRIES</t>
        </is>
      </c>
      <c r="P2" s="4" t="inlineStr">
        <is>
          <t>MAXIMUM_FLOOD_AFFECTED_PEOPLE_DURING_1974_TO_2023</t>
        </is>
      </c>
      <c r="Q2" s="4" t="inlineStr">
        <is>
          <t>MINING_QUARRYING_INDUSTRIES</t>
        </is>
      </c>
      <c r="R2" s="4" t="inlineStr">
        <is>
          <t>PERSONS_ENGAGED_FISH_PROCESSING_INDUSTRIES</t>
        </is>
      </c>
      <c r="S2" s="4" t="inlineStr">
        <is>
          <t>PERSONS_ENGAGED_MANUFACTURE_DAIRY_PRODUCT_INDUSTRIES</t>
        </is>
      </c>
      <c r="T2" s="4" t="inlineStr">
        <is>
          <t>PERSONS_ENGAGED_SMALL_INFORMAL_INDUSTRIES</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Total establishments in  manufacturing Industries
&gt;&gt; enter a TYPICAL YEAR (not a total)</t>
        </is>
      </c>
      <c r="N3" s="5" t="inlineStr">
        <is>
          <t>exposure: Flood affected  road length
&gt;&gt; enter a TYPICAL YEAR (not a total)</t>
        </is>
      </c>
      <c r="O3" s="5" t="inlineStr">
        <is>
          <t>exposure: Total No. of Industrial establishments (small and informal industries)
&gt;&gt; enter a TYPICAL YEAR (not a total)</t>
        </is>
      </c>
      <c r="P3" s="5" t="inlineStr">
        <is>
          <t>exposure: Max # of flood affected People during 1974 to 2023 (1974 -2004, 25%, 2005 -2023, 75%)
&gt;&gt; enter the MAXIMUM (already a fixed-window figure)</t>
        </is>
      </c>
      <c r="Q3" s="5" t="inlineStr">
        <is>
          <t>exposure: Total No. of Mining &amp; Quarrying industries
&gt;&gt; enter a TYPICAL YEAR (not a total)</t>
        </is>
      </c>
      <c r="R3" s="5" t="inlineStr">
        <is>
          <t>exposure: Persons engaged in processing and preserving of fish, crustaceans and mollusks industries
&gt;&gt; enter a TYPICAL YEAR (not a total)</t>
        </is>
      </c>
      <c r="S3" s="5" t="inlineStr">
        <is>
          <t>exposure: Persons engaged in manufacture of dairy product industries
&gt;&gt; enter a TYPICAL YEAR (not a total)</t>
        </is>
      </c>
      <c r="T3" s="5" t="inlineStr">
        <is>
          <t>exposure: Total Persons engaged (small and informal industries)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2021-2025</t>
        </is>
      </c>
      <c r="V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c r="R5" s="8" t="n"/>
      <c r="S5" s="8" t="n"/>
      <c r="T5" s="8" t="n"/>
      <c r="U5" s="8" t="n"/>
      <c r="V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c r="R6" s="8" t="n"/>
      <c r="S6" s="8" t="n"/>
      <c r="T6" s="8" t="n"/>
      <c r="U6" s="8" t="n"/>
      <c r="V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c r="R7" s="8" t="n"/>
      <c r="S7" s="8" t="n"/>
      <c r="T7" s="8" t="n"/>
      <c r="U7" s="8" t="n"/>
      <c r="V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c r="R8" s="8" t="n"/>
      <c r="S8" s="8" t="n"/>
      <c r="T8" s="8" t="n"/>
      <c r="U8" s="8" t="n"/>
      <c r="V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c r="R9" s="8" t="n"/>
      <c r="S9" s="8" t="n"/>
      <c r="T9" s="8" t="n"/>
      <c r="U9" s="8" t="n"/>
      <c r="V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c r="R10" s="8" t="n"/>
      <c r="S10" s="8" t="n"/>
      <c r="T10" s="8" t="n"/>
      <c r="U10" s="8" t="n"/>
      <c r="V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c r="R11" s="8" t="n"/>
      <c r="S11" s="8" t="n"/>
      <c r="T11" s="8" t="n"/>
      <c r="U11" s="8" t="n"/>
      <c r="V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c r="R12" s="8" t="n"/>
      <c r="S12" s="8" t="n"/>
      <c r="T12" s="8" t="n"/>
      <c r="U12" s="8" t="n"/>
      <c r="V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c r="R13" s="8" t="n"/>
      <c r="S13" s="8" t="n"/>
      <c r="T13" s="8" t="n"/>
      <c r="U13" s="8" t="n"/>
      <c r="V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c r="R14" s="8" t="n"/>
      <c r="S14" s="8" t="n"/>
      <c r="T14" s="8" t="n"/>
      <c r="U14" s="8" t="n"/>
      <c r="V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c r="R15" s="8" t="n"/>
      <c r="S15" s="8" t="n"/>
      <c r="T15" s="8" t="n"/>
      <c r="U15" s="8" t="n"/>
      <c r="V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c r="R16" s="8" t="n"/>
      <c r="S16" s="8" t="n"/>
      <c r="T16" s="8" t="n"/>
      <c r="U16" s="8" t="n"/>
      <c r="V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c r="R17" s="8" t="n"/>
      <c r="S17" s="8" t="n"/>
      <c r="T17" s="8" t="n"/>
      <c r="U17" s="8" t="n"/>
      <c r="V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c r="R18" s="8" t="n"/>
      <c r="S18" s="8" t="n"/>
      <c r="T18" s="8" t="n"/>
      <c r="U18" s="8" t="n"/>
      <c r="V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c r="R19" s="8" t="n"/>
      <c r="S19" s="8" t="n"/>
      <c r="T19" s="8" t="n"/>
      <c r="U19" s="8" t="n"/>
      <c r="V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c r="R20" s="8" t="n"/>
      <c r="S20" s="8" t="n"/>
      <c r="T20" s="8" t="n"/>
      <c r="U20" s="8" t="n"/>
      <c r="V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c r="R21" s="8" t="n"/>
      <c r="S21" s="8" t="n"/>
      <c r="T21" s="8" t="n"/>
      <c r="U21" s="8" t="n"/>
      <c r="V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c r="R22" s="8" t="n"/>
      <c r="S22" s="8" t="n"/>
      <c r="T22" s="8" t="n"/>
      <c r="U22" s="8" t="n"/>
      <c r="V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c r="R23" s="8" t="n"/>
      <c r="S23" s="8" t="n"/>
      <c r="T23" s="8" t="n"/>
      <c r="U23" s="8" t="n"/>
      <c r="V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c r="R24" s="8" t="n"/>
      <c r="S24" s="8" t="n"/>
      <c r="T24" s="8" t="n"/>
      <c r="U24" s="8" t="n"/>
      <c r="V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c r="R25" s="8" t="n"/>
      <c r="S25" s="8" t="n"/>
      <c r="T25" s="8" t="n"/>
      <c r="U25" s="8" t="n"/>
      <c r="V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c r="R26" s="8" t="n"/>
      <c r="S26" s="8" t="n"/>
      <c r="T26" s="8" t="n"/>
      <c r="U26" s="8" t="n"/>
      <c r="V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c r="R27" s="8" t="n"/>
      <c r="S27" s="8" t="n"/>
      <c r="T27" s="8" t="n"/>
      <c r="U27" s="8" t="n"/>
      <c r="V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c r="R28" s="8" t="n"/>
      <c r="S28" s="8" t="n"/>
      <c r="T28" s="8" t="n"/>
      <c r="U28" s="8" t="n"/>
      <c r="V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c r="R29" s="8" t="n"/>
      <c r="S29" s="8" t="n"/>
      <c r="T29" s="8" t="n"/>
      <c r="U29" s="8" t="n"/>
      <c r="V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c r="R30" s="8" t="n"/>
      <c r="S30" s="8" t="n"/>
      <c r="T30" s="8" t="n"/>
      <c r="U30" s="8" t="n"/>
      <c r="V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c r="R31" s="8" t="n"/>
      <c r="S31" s="8" t="n"/>
      <c r="T31" s="8" t="n"/>
      <c r="U31" s="8" t="n"/>
      <c r="V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c r="R32" s="8" t="n"/>
      <c r="S32" s="8" t="n"/>
      <c r="T32" s="8" t="n"/>
      <c r="U32" s="8" t="n"/>
      <c r="V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c r="R33" s="8" t="n"/>
      <c r="S33" s="8" t="n"/>
      <c r="T33" s="8" t="n"/>
      <c r="U33" s="8" t="n"/>
      <c r="V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c r="R34" s="8" t="n"/>
      <c r="S34" s="8" t="n"/>
      <c r="T34" s="8" t="n"/>
      <c r="U34" s="8" t="n"/>
      <c r="V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c r="R35" s="8" t="n"/>
      <c r="S35" s="8" t="n"/>
      <c r="T35" s="8" t="n"/>
      <c r="U35" s="8" t="n"/>
      <c r="V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c r="R36" s="8" t="n"/>
      <c r="S36" s="8" t="n"/>
      <c r="T36" s="8" t="n"/>
      <c r="U36" s="8" t="n"/>
      <c r="V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c r="R37" s="8" t="n"/>
      <c r="S37" s="8" t="n"/>
      <c r="T37" s="8" t="n"/>
      <c r="U37" s="8" t="n"/>
      <c r="V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c r="R38" s="8" t="n"/>
      <c r="S38" s="8" t="n"/>
      <c r="T38" s="8" t="n"/>
      <c r="U38" s="8" t="n"/>
      <c r="V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c r="R39" s="8" t="n"/>
      <c r="S39" s="8" t="n"/>
      <c r="T39" s="8" t="n"/>
      <c r="U39" s="8" t="n"/>
      <c r="V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c r="R40" s="8" t="n"/>
      <c r="S40" s="8" t="n"/>
      <c r="T40" s="8" t="n"/>
      <c r="U40" s="8" t="n"/>
      <c r="V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c r="R41" s="8" t="n"/>
      <c r="S41" s="8" t="n"/>
      <c r="T41" s="8" t="n"/>
      <c r="U41" s="8" t="n"/>
      <c r="V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c r="R42" s="8" t="n"/>
      <c r="S42" s="8" t="n"/>
      <c r="T42" s="8" t="n"/>
      <c r="U42" s="8" t="n"/>
      <c r="V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c r="R43" s="8" t="n"/>
      <c r="S43" s="8" t="n"/>
      <c r="T43" s="8" t="n"/>
      <c r="U43" s="8" t="n"/>
      <c r="V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c r="R44" s="8" t="n"/>
      <c r="S44" s="8" t="n"/>
      <c r="T44" s="8" t="n"/>
      <c r="U44" s="8" t="n"/>
      <c r="V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c r="R45" s="8" t="n"/>
      <c r="S45" s="8" t="n"/>
      <c r="T45" s="8" t="n"/>
      <c r="U45" s="8" t="n"/>
      <c r="V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c r="R46" s="8" t="n"/>
      <c r="S46" s="8" t="n"/>
      <c r="T46" s="8" t="n"/>
      <c r="U46" s="8" t="n"/>
      <c r="V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c r="R47" s="8" t="n"/>
      <c r="S47" s="8" t="n"/>
      <c r="T47" s="8" t="n"/>
      <c r="U47" s="8" t="n"/>
      <c r="V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c r="R48" s="8" t="n"/>
      <c r="S48" s="8" t="n"/>
      <c r="T48" s="8" t="n"/>
      <c r="U48" s="8" t="n"/>
      <c r="V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c r="R49" s="8" t="n"/>
      <c r="S49" s="8" t="n"/>
      <c r="T49" s="8" t="n"/>
      <c r="U49" s="8" t="n"/>
      <c r="V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c r="R50" s="8" t="n"/>
      <c r="S50" s="8" t="n"/>
      <c r="T50" s="8" t="n"/>
      <c r="U50" s="8" t="n"/>
      <c r="V50" s="8" t="n"/>
    </row>
  </sheetData>
  <mergeCells count="1">
    <mergeCell ref="A1:V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2026-2030 - Industry Sector - Flood - Northwestern Province   [profile INDUSTRY_FLOOD_NWE_V1]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ESTABLISHMENTS_MANUFACTURING_INDUSTRIES</t>
        </is>
      </c>
      <c r="N2" s="4" t="inlineStr">
        <is>
          <t>FLOOD_AFFECTED_ROAD_LENGTH</t>
        </is>
      </c>
      <c r="O2" s="4" t="inlineStr">
        <is>
          <t>INDUSTRIAL_ESTABLISHMENTS_SMALL_INFORMAL_INDUSTRIES</t>
        </is>
      </c>
      <c r="P2" s="4" t="inlineStr">
        <is>
          <t>MAXIMUM_FLOOD_AFFECTED_PEOPLE_DURING_1974_TO_2023</t>
        </is>
      </c>
      <c r="Q2" s="4" t="inlineStr">
        <is>
          <t>MINING_QUARRYING_INDUSTRIES</t>
        </is>
      </c>
      <c r="R2" s="4" t="inlineStr">
        <is>
          <t>PERSONS_ENGAGED_FISH_PROCESSING_INDUSTRIES</t>
        </is>
      </c>
      <c r="S2" s="4" t="inlineStr">
        <is>
          <t>PERSONS_ENGAGED_MANUFACTURE_DAIRY_PRODUCT_INDUSTRIES</t>
        </is>
      </c>
      <c r="T2" s="4" t="inlineStr">
        <is>
          <t>PERSONS_ENGAGED_SMALL_INFORMAL_INDUSTRIES</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Total establishments in  manufacturing Industries
&gt;&gt; enter a TYPICAL YEAR (not a total)</t>
        </is>
      </c>
      <c r="N3" s="5" t="inlineStr">
        <is>
          <t>exposure: Flood affected  road length
&gt;&gt; enter a TYPICAL YEAR (not a total)</t>
        </is>
      </c>
      <c r="O3" s="5" t="inlineStr">
        <is>
          <t>exposure: Total No. of Industrial establishments (small and informal industries)
&gt;&gt; enter a TYPICAL YEAR (not a total)</t>
        </is>
      </c>
      <c r="P3" s="5" t="inlineStr">
        <is>
          <t>exposure: Max # of flood affected People during 1974 to 2023 (1974 -2004, 25%, 2005 -2023, 75%)
&gt;&gt; enter the MAXIMUM (already a fixed-window figure)</t>
        </is>
      </c>
      <c r="Q3" s="5" t="inlineStr">
        <is>
          <t>exposure: Total No. of Mining &amp; Quarrying industries
&gt;&gt; enter a TYPICAL YEAR (not a total)</t>
        </is>
      </c>
      <c r="R3" s="5" t="inlineStr">
        <is>
          <t>exposure: Persons engaged in processing and preserving of fish, crustaceans and mollusks industries
&gt;&gt; enter a TYPICAL YEAR (not a total)</t>
        </is>
      </c>
      <c r="S3" s="5" t="inlineStr">
        <is>
          <t>exposure: Persons engaged in manufacture of dairy product industries
&gt;&gt; enter a TYPICAL YEAR (not a total)</t>
        </is>
      </c>
      <c r="T3" s="5" t="inlineStr">
        <is>
          <t>exposure: Total Persons engaged (small and informal industries)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2026-2030</t>
        </is>
      </c>
      <c r="V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c r="R5" s="8" t="n"/>
      <c r="S5" s="8" t="n"/>
      <c r="T5" s="8" t="n"/>
      <c r="U5" s="8" t="n"/>
      <c r="V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c r="R6" s="8" t="n"/>
      <c r="S6" s="8" t="n"/>
      <c r="T6" s="8" t="n"/>
      <c r="U6" s="8" t="n"/>
      <c r="V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c r="R7" s="8" t="n"/>
      <c r="S7" s="8" t="n"/>
      <c r="T7" s="8" t="n"/>
      <c r="U7" s="8" t="n"/>
      <c r="V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c r="R8" s="8" t="n"/>
      <c r="S8" s="8" t="n"/>
      <c r="T8" s="8" t="n"/>
      <c r="U8" s="8" t="n"/>
      <c r="V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c r="R9" s="8" t="n"/>
      <c r="S9" s="8" t="n"/>
      <c r="T9" s="8" t="n"/>
      <c r="U9" s="8" t="n"/>
      <c r="V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c r="R10" s="8" t="n"/>
      <c r="S10" s="8" t="n"/>
      <c r="T10" s="8" t="n"/>
      <c r="U10" s="8" t="n"/>
      <c r="V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c r="R11" s="8" t="n"/>
      <c r="S11" s="8" t="n"/>
      <c r="T11" s="8" t="n"/>
      <c r="U11" s="8" t="n"/>
      <c r="V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c r="R12" s="8" t="n"/>
      <c r="S12" s="8" t="n"/>
      <c r="T12" s="8" t="n"/>
      <c r="U12" s="8" t="n"/>
      <c r="V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c r="R13" s="8" t="n"/>
      <c r="S13" s="8" t="n"/>
      <c r="T13" s="8" t="n"/>
      <c r="U13" s="8" t="n"/>
      <c r="V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c r="R14" s="8" t="n"/>
      <c r="S14" s="8" t="n"/>
      <c r="T14" s="8" t="n"/>
      <c r="U14" s="8" t="n"/>
      <c r="V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c r="R15" s="8" t="n"/>
      <c r="S15" s="8" t="n"/>
      <c r="T15" s="8" t="n"/>
      <c r="U15" s="8" t="n"/>
      <c r="V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c r="R16" s="8" t="n"/>
      <c r="S16" s="8" t="n"/>
      <c r="T16" s="8" t="n"/>
      <c r="U16" s="8" t="n"/>
      <c r="V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c r="R17" s="8" t="n"/>
      <c r="S17" s="8" t="n"/>
      <c r="T17" s="8" t="n"/>
      <c r="U17" s="8" t="n"/>
      <c r="V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c r="R18" s="8" t="n"/>
      <c r="S18" s="8" t="n"/>
      <c r="T18" s="8" t="n"/>
      <c r="U18" s="8" t="n"/>
      <c r="V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c r="R19" s="8" t="n"/>
      <c r="S19" s="8" t="n"/>
      <c r="T19" s="8" t="n"/>
      <c r="U19" s="8" t="n"/>
      <c r="V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c r="R20" s="8" t="n"/>
      <c r="S20" s="8" t="n"/>
      <c r="T20" s="8" t="n"/>
      <c r="U20" s="8" t="n"/>
      <c r="V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c r="R21" s="8" t="n"/>
      <c r="S21" s="8" t="n"/>
      <c r="T21" s="8" t="n"/>
      <c r="U21" s="8" t="n"/>
      <c r="V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c r="R22" s="8" t="n"/>
      <c r="S22" s="8" t="n"/>
      <c r="T22" s="8" t="n"/>
      <c r="U22" s="8" t="n"/>
      <c r="V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c r="R23" s="8" t="n"/>
      <c r="S23" s="8" t="n"/>
      <c r="T23" s="8" t="n"/>
      <c r="U23" s="8" t="n"/>
      <c r="V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c r="R24" s="8" t="n"/>
      <c r="S24" s="8" t="n"/>
      <c r="T24" s="8" t="n"/>
      <c r="U24" s="8" t="n"/>
      <c r="V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c r="R25" s="8" t="n"/>
      <c r="S25" s="8" t="n"/>
      <c r="T25" s="8" t="n"/>
      <c r="U25" s="8" t="n"/>
      <c r="V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c r="R26" s="8" t="n"/>
      <c r="S26" s="8" t="n"/>
      <c r="T26" s="8" t="n"/>
      <c r="U26" s="8" t="n"/>
      <c r="V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c r="R27" s="8" t="n"/>
      <c r="S27" s="8" t="n"/>
      <c r="T27" s="8" t="n"/>
      <c r="U27" s="8" t="n"/>
      <c r="V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c r="R28" s="8" t="n"/>
      <c r="S28" s="8" t="n"/>
      <c r="T28" s="8" t="n"/>
      <c r="U28" s="8" t="n"/>
      <c r="V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c r="R29" s="8" t="n"/>
      <c r="S29" s="8" t="n"/>
      <c r="T29" s="8" t="n"/>
      <c r="U29" s="8" t="n"/>
      <c r="V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c r="R30" s="8" t="n"/>
      <c r="S30" s="8" t="n"/>
      <c r="T30" s="8" t="n"/>
      <c r="U30" s="8" t="n"/>
      <c r="V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c r="R31" s="8" t="n"/>
      <c r="S31" s="8" t="n"/>
      <c r="T31" s="8" t="n"/>
      <c r="U31" s="8" t="n"/>
      <c r="V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c r="R32" s="8" t="n"/>
      <c r="S32" s="8" t="n"/>
      <c r="T32" s="8" t="n"/>
      <c r="U32" s="8" t="n"/>
      <c r="V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c r="R33" s="8" t="n"/>
      <c r="S33" s="8" t="n"/>
      <c r="T33" s="8" t="n"/>
      <c r="U33" s="8" t="n"/>
      <c r="V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c r="R34" s="8" t="n"/>
      <c r="S34" s="8" t="n"/>
      <c r="T34" s="8" t="n"/>
      <c r="U34" s="8" t="n"/>
      <c r="V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c r="R35" s="8" t="n"/>
      <c r="S35" s="8" t="n"/>
      <c r="T35" s="8" t="n"/>
      <c r="U35" s="8" t="n"/>
      <c r="V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c r="R36" s="8" t="n"/>
      <c r="S36" s="8" t="n"/>
      <c r="T36" s="8" t="n"/>
      <c r="U36" s="8" t="n"/>
      <c r="V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c r="R37" s="8" t="n"/>
      <c r="S37" s="8" t="n"/>
      <c r="T37" s="8" t="n"/>
      <c r="U37" s="8" t="n"/>
      <c r="V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c r="R38" s="8" t="n"/>
      <c r="S38" s="8" t="n"/>
      <c r="T38" s="8" t="n"/>
      <c r="U38" s="8" t="n"/>
      <c r="V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c r="R39" s="8" t="n"/>
      <c r="S39" s="8" t="n"/>
      <c r="T39" s="8" t="n"/>
      <c r="U39" s="8" t="n"/>
      <c r="V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c r="R40" s="8" t="n"/>
      <c r="S40" s="8" t="n"/>
      <c r="T40" s="8" t="n"/>
      <c r="U40" s="8" t="n"/>
      <c r="V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c r="R41" s="8" t="n"/>
      <c r="S41" s="8" t="n"/>
      <c r="T41" s="8" t="n"/>
      <c r="U41" s="8" t="n"/>
      <c r="V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c r="R42" s="8" t="n"/>
      <c r="S42" s="8" t="n"/>
      <c r="T42" s="8" t="n"/>
      <c r="U42" s="8" t="n"/>
      <c r="V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c r="R43" s="8" t="n"/>
      <c r="S43" s="8" t="n"/>
      <c r="T43" s="8" t="n"/>
      <c r="U43" s="8" t="n"/>
      <c r="V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c r="R44" s="8" t="n"/>
      <c r="S44" s="8" t="n"/>
      <c r="T44" s="8" t="n"/>
      <c r="U44" s="8" t="n"/>
      <c r="V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c r="R45" s="8" t="n"/>
      <c r="S45" s="8" t="n"/>
      <c r="T45" s="8" t="n"/>
      <c r="U45" s="8" t="n"/>
      <c r="V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c r="R46" s="8" t="n"/>
      <c r="S46" s="8" t="n"/>
      <c r="T46" s="8" t="n"/>
      <c r="U46" s="8" t="n"/>
      <c r="V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c r="R47" s="8" t="n"/>
      <c r="S47" s="8" t="n"/>
      <c r="T47" s="8" t="n"/>
      <c r="U47" s="8" t="n"/>
      <c r="V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c r="R48" s="8" t="n"/>
      <c r="S48" s="8" t="n"/>
      <c r="T48" s="8" t="n"/>
      <c r="U48" s="8" t="n"/>
      <c r="V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c r="R49" s="8" t="n"/>
      <c r="S49" s="8" t="n"/>
      <c r="T49" s="8" t="n"/>
      <c r="U49" s="8" t="n"/>
      <c r="V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c r="R50" s="8" t="n"/>
      <c r="S50" s="8" t="n"/>
      <c r="T50" s="8" t="n"/>
      <c r="U50" s="8" t="n"/>
      <c r="V50" s="8" t="n"/>
    </row>
  </sheetData>
  <mergeCells count="1">
    <mergeCell ref="A1:V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Industry Sector - Flood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3" t="inlineStr">
        <is>
          <t>ACCOMMODATION_FOOD_SERVICE_ACTIVITIES_ESTABLISHMENTS</t>
        </is>
      </c>
      <c r="B9" s="13" t="inlineStr">
        <is>
          <t>Accommodation and food service activities- No. of Establishments</t>
        </is>
      </c>
      <c r="C9" s="13" t="inlineStr">
        <is>
          <t>exposure</t>
        </is>
      </c>
      <c r="D9" s="13" t="inlineStr">
        <is>
          <t>+</t>
        </is>
      </c>
      <c r="E9" s="13" t="n">
        <v>10</v>
      </c>
      <c r="F9" s="12" t="n">
        <v>10</v>
      </c>
      <c r="G9" s="13" t="inlineStr"/>
    </row>
    <row r="10">
      <c r="A10" s="13" t="inlineStr">
        <is>
          <t>ACCOMMODATION_FOOD_SERVICE_ACTIVITIES_PERSONS_ENGAGED</t>
        </is>
      </c>
      <c r="B10" s="13" t="inlineStr">
        <is>
          <t>Accommodation and food service activities- No. of Persons Engaged</t>
        </is>
      </c>
      <c r="C10" s="13" t="inlineStr">
        <is>
          <t>exposure</t>
        </is>
      </c>
      <c r="D10" s="13" t="inlineStr">
        <is>
          <t>+</t>
        </is>
      </c>
      <c r="E10" s="13" t="n">
        <v>10</v>
      </c>
      <c r="F10" s="12" t="n">
        <v>10</v>
      </c>
      <c r="G10" s="13" t="inlineStr"/>
    </row>
    <row r="11">
      <c r="A11" s="13" t="inlineStr">
        <is>
          <t>ESTABLISHMENTS_MANUFACTURING_INDUSTRIES</t>
        </is>
      </c>
      <c r="B11" s="13" t="inlineStr">
        <is>
          <t>Total establishments in  manufacturing Industries</t>
        </is>
      </c>
      <c r="C11" s="13" t="inlineStr">
        <is>
          <t>exposure</t>
        </is>
      </c>
      <c r="D11" s="13" t="inlineStr">
        <is>
          <t>+</t>
        </is>
      </c>
      <c r="E11" s="13" t="n">
        <v>10</v>
      </c>
      <c r="F11" s="12" t="n">
        <v>10</v>
      </c>
      <c r="G11" s="13" t="inlineStr"/>
    </row>
    <row r="12">
      <c r="A12" s="13" t="inlineStr">
        <is>
          <t>FLOOD_AFFECTED_ROAD_LENGTH</t>
        </is>
      </c>
      <c r="B12" s="13" t="inlineStr">
        <is>
          <t>Flood affected  road length</t>
        </is>
      </c>
      <c r="C12" s="13" t="inlineStr">
        <is>
          <t>exposure</t>
        </is>
      </c>
      <c r="D12" s="13" t="inlineStr">
        <is>
          <t>+</t>
        </is>
      </c>
      <c r="E12" s="13" t="n">
        <v>10</v>
      </c>
      <c r="F12" s="12" t="n">
        <v>10</v>
      </c>
      <c r="G12" s="13" t="inlineStr"/>
    </row>
    <row r="13">
      <c r="A13" s="13" t="inlineStr">
        <is>
          <t>INDUSTRIAL_ESTABLISHMENTS_SMALL_INFORMAL_INDUSTRIES</t>
        </is>
      </c>
      <c r="B13" s="13" t="inlineStr">
        <is>
          <t>Total No. of Industrial establishments (small and informal industries)</t>
        </is>
      </c>
      <c r="C13" s="13" t="inlineStr">
        <is>
          <t>exposure</t>
        </is>
      </c>
      <c r="D13" s="13" t="inlineStr">
        <is>
          <t>+</t>
        </is>
      </c>
      <c r="E13" s="13" t="n">
        <v>5</v>
      </c>
      <c r="F13" s="12" t="n">
        <v>5</v>
      </c>
      <c r="G13" s="13" t="inlineStr"/>
    </row>
    <row r="14">
      <c r="A14" s="13" t="inlineStr">
        <is>
          <t>MAXIMUM_FLOOD_AFFECTED_PEOPLE_DURING_1974_TO_2023</t>
        </is>
      </c>
      <c r="B14" s="13" t="inlineStr">
        <is>
          <t>Max # of flood affected People during 1974 to 2023 (1974 -2004, 25%, 2005 -2023, 75%)</t>
        </is>
      </c>
      <c r="C14" s="13" t="inlineStr">
        <is>
          <t>exposure</t>
        </is>
      </c>
      <c r="D14" s="13" t="inlineStr">
        <is>
          <t>+</t>
        </is>
      </c>
      <c r="E14" s="13" t="n">
        <v>10</v>
      </c>
      <c r="F14" s="12" t="n">
        <v>10</v>
      </c>
      <c r="G14" s="13" t="inlineStr"/>
    </row>
    <row r="15">
      <c r="A15" s="13" t="inlineStr">
        <is>
          <t>MINING_QUARRYING_INDUSTRIES</t>
        </is>
      </c>
      <c r="B15" s="13" t="inlineStr">
        <is>
          <t>Total No. of Mining &amp; Quarrying industries</t>
        </is>
      </c>
      <c r="C15" s="13" t="inlineStr">
        <is>
          <t>exposure</t>
        </is>
      </c>
      <c r="D15" s="13" t="inlineStr">
        <is>
          <t>+</t>
        </is>
      </c>
      <c r="E15" s="13" t="n">
        <v>10</v>
      </c>
      <c r="F15" s="12" t="n">
        <v>10</v>
      </c>
      <c r="G15" s="13" t="inlineStr"/>
    </row>
    <row r="16">
      <c r="A16" s="13" t="inlineStr">
        <is>
          <t>PERSONS_ENGAGED_FISH_PROCESSING_INDUSTRIES</t>
        </is>
      </c>
      <c r="B16" s="13" t="inlineStr">
        <is>
          <t>Persons engaged in processing and preserving of fish, crustaceans and mollusks industries</t>
        </is>
      </c>
      <c r="C16" s="13" t="inlineStr">
        <is>
          <t>exposure</t>
        </is>
      </c>
      <c r="D16" s="13" t="inlineStr">
        <is>
          <t>+</t>
        </is>
      </c>
      <c r="E16" s="13" t="n">
        <v>20</v>
      </c>
      <c r="F16" s="12" t="n">
        <v>20</v>
      </c>
      <c r="G16" s="13" t="inlineStr"/>
    </row>
    <row r="17">
      <c r="A17" s="13" t="inlineStr">
        <is>
          <t>PERSONS_ENGAGED_MANUFACTURE_DAIRY_PRODUCT_INDUSTRIES</t>
        </is>
      </c>
      <c r="B17" s="13" t="inlineStr">
        <is>
          <t>Persons engaged in manufacture of dairy product industries</t>
        </is>
      </c>
      <c r="C17" s="13" t="inlineStr">
        <is>
          <t>exposure</t>
        </is>
      </c>
      <c r="D17" s="13" t="inlineStr">
        <is>
          <t>+</t>
        </is>
      </c>
      <c r="E17" s="13" t="n">
        <v>10</v>
      </c>
      <c r="F17" s="12" t="n">
        <v>10</v>
      </c>
      <c r="G17" s="13" t="inlineStr"/>
    </row>
    <row r="18">
      <c r="A18" s="13" t="inlineStr">
        <is>
          <t>PERSONS_ENGAGED_SMALL_INFORMAL_INDUSTRIES</t>
        </is>
      </c>
      <c r="B18" s="13" t="inlineStr">
        <is>
          <t>Total Persons engaged (small and informal industries)</t>
        </is>
      </c>
      <c r="C18" s="13" t="inlineStr">
        <is>
          <t>exposure</t>
        </is>
      </c>
      <c r="D18" s="13" t="inlineStr">
        <is>
          <t>+</t>
        </is>
      </c>
      <c r="E18" s="13" t="n">
        <v>5</v>
      </c>
      <c r="F18" s="12" t="n">
        <v>5</v>
      </c>
      <c r="G18" s="13" t="inlineStr"/>
    </row>
    <row r="20">
      <c r="A20" s="14" t="inlineStr">
        <is>
          <t>SUM - hazard (must equal 100)</t>
        </is>
      </c>
      <c r="F20" s="15">
        <f>F4+F5+F6+F7+F8</f>
        <v/>
      </c>
    </row>
    <row r="21">
      <c r="A21" s="14" t="inlineStr">
        <is>
          <t>SUM - exposure (must equal 100)</t>
        </is>
      </c>
      <c r="F21" s="15">
        <f>F9+F10+F11+F12+F13+F14+F15+F16+F17+F18</f>
        <v/>
      </c>
    </row>
  </sheetData>
  <mergeCells count="1">
    <mergeCell ref="A2:G2"/>
  </mergeCells>
  <dataValidations count="1">
    <dataValidation sqref="F4 F5 F6 F7 F8 F9 F10 F11 F12 F13 F14 F15 F16 F17 F1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INDUSTRY_FLOOD_NWE_V1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ACCOMMODATION_FOOD_SERVICE_ACTIVITIES_ESTABLISHMENTS</t>
        </is>
      </c>
      <c r="B23" s="13" t="inlineStr">
        <is>
          <t>Accommodation and food service activities- No. of Establishments</t>
        </is>
      </c>
      <c r="C23" s="13" t="inlineStr">
        <is>
          <t>exposure</t>
        </is>
      </c>
      <c r="D23" s="13" t="inlineStr">
        <is>
          <t>+</t>
        </is>
      </c>
      <c r="E23" s="13" t="n">
        <v>10</v>
      </c>
      <c r="F23" s="13" t="inlineStr">
        <is>
          <t>enter a TYPICAL YEAR (not a total)</t>
        </is>
      </c>
    </row>
    <row r="24">
      <c r="A24" s="13" t="inlineStr">
        <is>
          <t>ACCOMMODATION_FOOD_SERVICE_ACTIVITIES_PERSONS_ENGAGED</t>
        </is>
      </c>
      <c r="B24" s="13" t="inlineStr">
        <is>
          <t>Accommodation and food service activities- No. of Persons Engaged</t>
        </is>
      </c>
      <c r="C24" s="13" t="inlineStr">
        <is>
          <t>exposure</t>
        </is>
      </c>
      <c r="D24" s="13" t="inlineStr">
        <is>
          <t>+</t>
        </is>
      </c>
      <c r="E24" s="13" t="n">
        <v>10</v>
      </c>
      <c r="F24" s="13" t="inlineStr">
        <is>
          <t>enter a TYPICAL YEAR (not a total)</t>
        </is>
      </c>
    </row>
    <row r="25">
      <c r="A25" s="13" t="inlineStr">
        <is>
          <t>ESTABLISHMENTS_MANUFACTURING_INDUSTRIES</t>
        </is>
      </c>
      <c r="B25" s="13" t="inlineStr">
        <is>
          <t>Total establishments in  manufacturing Industries</t>
        </is>
      </c>
      <c r="C25" s="13" t="inlineStr">
        <is>
          <t>exposure</t>
        </is>
      </c>
      <c r="D25" s="13" t="inlineStr">
        <is>
          <t>+</t>
        </is>
      </c>
      <c r="E25" s="13" t="n">
        <v>10</v>
      </c>
      <c r="F25" s="13" t="inlineStr">
        <is>
          <t>enter a TYPICAL YEAR (not a total)</t>
        </is>
      </c>
    </row>
    <row r="26">
      <c r="A26" s="13" t="inlineStr">
        <is>
          <t>FLOOD_AFFECTED_ROAD_LENGTH</t>
        </is>
      </c>
      <c r="B26" s="13" t="inlineStr">
        <is>
          <t>Flood affected  road length</t>
        </is>
      </c>
      <c r="C26" s="13" t="inlineStr">
        <is>
          <t>exposure</t>
        </is>
      </c>
      <c r="D26" s="13" t="inlineStr">
        <is>
          <t>+</t>
        </is>
      </c>
      <c r="E26" s="13" t="n">
        <v>10</v>
      </c>
      <c r="F26" s="13" t="inlineStr">
        <is>
          <t>enter a TYPICAL YEAR (not a total)</t>
        </is>
      </c>
    </row>
    <row r="27">
      <c r="A27" s="13" t="inlineStr">
        <is>
          <t>INDUSTRIAL_ESTABLISHMENTS_SMALL_INFORMAL_INDUSTRIES</t>
        </is>
      </c>
      <c r="B27" s="13" t="inlineStr">
        <is>
          <t>Total No. of Industrial establishments (small and informal industries)</t>
        </is>
      </c>
      <c r="C27" s="13" t="inlineStr">
        <is>
          <t>exposure</t>
        </is>
      </c>
      <c r="D27" s="13" t="inlineStr">
        <is>
          <t>+</t>
        </is>
      </c>
      <c r="E27" s="13" t="n">
        <v>5</v>
      </c>
      <c r="F27" s="13" t="inlineStr">
        <is>
          <t>enter a TYPICAL YEAR (not a total)</t>
        </is>
      </c>
    </row>
    <row r="28">
      <c r="A28" s="13" t="inlineStr">
        <is>
          <t>MAXIMUM_FLOOD_AFFECTED_PEOPLE_DURING_1974_TO_2023</t>
        </is>
      </c>
      <c r="B28" s="13" t="inlineStr">
        <is>
          <t>Max # of flood affected People during 1974 to 2023 (1974 -2004, 25%, 2005 -2023, 75%)</t>
        </is>
      </c>
      <c r="C28" s="13" t="inlineStr">
        <is>
          <t>exposure</t>
        </is>
      </c>
      <c r="D28" s="13" t="inlineStr">
        <is>
          <t>+</t>
        </is>
      </c>
      <c r="E28" s="13" t="n">
        <v>10</v>
      </c>
      <c r="F28" s="13" t="inlineStr">
        <is>
          <t>enter the MAXIMUM (already a fixed-window figure)</t>
        </is>
      </c>
    </row>
    <row r="29">
      <c r="A29" s="13" t="inlineStr">
        <is>
          <t>MINING_QUARRYING_INDUSTRIES</t>
        </is>
      </c>
      <c r="B29" s="13" t="inlineStr">
        <is>
          <t>Total No. of Mining &amp; Quarrying industries</t>
        </is>
      </c>
      <c r="C29" s="13" t="inlineStr">
        <is>
          <t>exposure</t>
        </is>
      </c>
      <c r="D29" s="13" t="inlineStr">
        <is>
          <t>+</t>
        </is>
      </c>
      <c r="E29" s="13" t="n">
        <v>10</v>
      </c>
      <c r="F29" s="13" t="inlineStr">
        <is>
          <t>enter a TYPICAL YEAR (not a total)</t>
        </is>
      </c>
    </row>
    <row r="30">
      <c r="A30" s="13" t="inlineStr">
        <is>
          <t>PERSONS_ENGAGED_FISH_PROCESSING_INDUSTRIES</t>
        </is>
      </c>
      <c r="B30" s="13" t="inlineStr">
        <is>
          <t>Persons engaged in processing and preserving of fish, crustaceans and mollusks industries</t>
        </is>
      </c>
      <c r="C30" s="13" t="inlineStr">
        <is>
          <t>exposure</t>
        </is>
      </c>
      <c r="D30" s="13" t="inlineStr">
        <is>
          <t>+</t>
        </is>
      </c>
      <c r="E30" s="13" t="n">
        <v>20</v>
      </c>
      <c r="F30" s="13" t="inlineStr">
        <is>
          <t>enter a TYPICAL YEAR (not a total)</t>
        </is>
      </c>
    </row>
    <row r="31">
      <c r="A31" s="13" t="inlineStr">
        <is>
          <t>PERSONS_ENGAGED_MANUFACTURE_DAIRY_PRODUCT_INDUSTRIES</t>
        </is>
      </c>
      <c r="B31" s="13" t="inlineStr">
        <is>
          <t>Persons engaged in manufacture of dairy product industries</t>
        </is>
      </c>
      <c r="C31" s="13" t="inlineStr">
        <is>
          <t>exposure</t>
        </is>
      </c>
      <c r="D31" s="13" t="inlineStr">
        <is>
          <t>+</t>
        </is>
      </c>
      <c r="E31" s="13" t="n">
        <v>10</v>
      </c>
      <c r="F31" s="13" t="inlineStr">
        <is>
          <t>enter a TYPICAL YEAR (not a total)</t>
        </is>
      </c>
    </row>
    <row r="32">
      <c r="A32" s="13" t="inlineStr">
        <is>
          <t>PERSONS_ENGAGED_SMALL_INFORMAL_INDUSTRIES</t>
        </is>
      </c>
      <c r="B32" s="13" t="inlineStr">
        <is>
          <t>Total Persons engaged (small and informal industries)</t>
        </is>
      </c>
      <c r="C32" s="13" t="inlineStr">
        <is>
          <t>exposure</t>
        </is>
      </c>
      <c r="D32" s="13" t="inlineStr">
        <is>
          <t>+</t>
        </is>
      </c>
      <c r="E32" s="13" t="n">
        <v>5</v>
      </c>
      <c r="F32"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INDUSTRY_FLOOD_NWE_V1</t>
        </is>
      </c>
    </row>
    <row r="2">
      <c r="A2" s="17" t="inlineStr">
        <is>
          <t>version</t>
        </is>
      </c>
      <c r="B2" s="17" t="n">
        <v>1</v>
      </c>
    </row>
    <row r="3">
      <c r="A3" s="17" t="inlineStr">
        <is>
          <t>province</t>
        </is>
      </c>
      <c r="B3" s="17" t="inlineStr">
        <is>
          <t>Northwestern</t>
        </is>
      </c>
    </row>
    <row r="4">
      <c r="A4" s="17" t="inlineStr">
        <is>
          <t>main_sector</t>
        </is>
      </c>
      <c r="B4" s="17" t="inlineStr">
        <is>
          <t>Industry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15</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ACCOMMODATION_FOOD_SERVICE_ACTIVITIES_ESTABLISHMENTS=average|ACCOMMODATION_FOOD_SERVICE_ACTIVITIES_PERSONS_ENGAGED=average|ESTABLISHMENTS_MANUFACTURING_INDUSTRIES=average|FLOOD_AFFECTED_ROAD_LENGTH=average|INDUSTRIAL_ESTABLISHMENTS_SMALL_INFORMAL_INDUSTRIES=average|MAXIMUM_FLOOD_AFFECTED_PEOPLE_DURING_1974_TO_2023=max|MINING_QUARRYING_INDUSTRIES=average|PERSONS_ENGAGED_FISH_PROCESSING_INDUSTRIES=average|PERSONS_ENGAGED_MANUFACTURE_DAIRY_PRODUCT_INDUSTRIES=average|PERSONS_ENGAGED_SMALL_INFORMAL_INDUSTRIES=average</t>
        </is>
      </c>
    </row>
    <row r="16">
      <c r="A16" s="17" t="inlineStr">
        <is>
          <t>expected_columns</t>
        </is>
      </c>
      <c r="B16" s="17" t="inlineStr">
        <is>
          <t>DS_CODE|DS_DIVISION|DISTRICT|YEAR_START|YEAR_END|FLOOD_EVENTS_1974_TO_2023|FLOOD_HAZARD_INDEX|LIGHTNING_INCIDENTS_1974_TO_2023|STRONG_WIND_EVENTS_1978_TO_2023|VERY_WET_DAYS|ACCOMMODATION_FOOD_SERVICE_ACTIVITIES_ESTABLISHMENTS|ACCOMMODATION_FOOD_SERVICE_ACTIVITIES_PERSONS_ENGAGED|ESTABLISHMENTS_MANUFACTURING_INDUSTRIES|FLOOD_AFFECTED_ROAD_LENGTH|INDUSTRIAL_ESTABLISHMENTS_SMALL_INFORMAL_INDUSTRIES|MAXIMUM_FLOOD_AFFECTED_PEOPLE_DURING_1974_TO_2023|MINING_QUARRYING_INDUSTRIES|PERSONS_ENGAGED_FISH_PROCESSING_INDUSTRIES|PERSONS_ENGAGED_MANUFACTURE_DAIRY_PRODUCT_INDUSTRIES|PERSONS_ENGAGED_SMALL_INFORMAL_INDUSTRI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2026-09-03T04:02:52Z</dcterms:created>
  <dcterms:modified xmlns:dcterms="http://purl.org/dc/terms/" xmlns:xsi="http://www.w3.org/2001/XMLSchema-instance" xsi:type="dcterms:W3CDTF">2026-09-03T04:02:53Z</dcterms:modified>
</cp:coreProperties>
</file>