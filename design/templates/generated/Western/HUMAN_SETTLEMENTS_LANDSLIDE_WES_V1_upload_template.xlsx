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0"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7"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2021-2025 - Human Settlements Sector - Landslide - Western Province   [profile HUMAN_SETTLEMENTS_LANDSLIDE_WES_V1]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2021-2025</t>
        </is>
      </c>
      <c r="S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2021</v>
      </c>
      <c r="E9" s="7" t="n">
        <v>2025</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S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s>
  <sheetData>
    <row r="1">
      <c r="A1" s="1" t="inlineStr">
        <is>
          <t>RAW DATA 2026-2030 - Human Settlements Sector - Landslide - Western Province   [profile HUMAN_SETTLEMENTS_LANDSLIDE_WES_V1]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CUTTING_FAILURES_EARTH_SLIPS_2000_TO_2023</t>
        </is>
      </c>
      <c r="G2" s="3" t="inlineStr">
        <is>
          <t>LANDSLIDE_EVENTS_1974_TO_2023</t>
        </is>
      </c>
      <c r="H2" s="3" t="inlineStr">
        <is>
          <t>LANDSLIDE_HAZARD_INDEX</t>
        </is>
      </c>
      <c r="I2" s="3" t="inlineStr">
        <is>
          <t>VERY_WET_DAYS</t>
        </is>
      </c>
      <c r="J2" s="4" t="inlineStr">
        <is>
          <t>BUILDINGS_LANDSLIDE_PRONE_AREA_HIGH_MODERATE</t>
        </is>
      </c>
      <c r="K2" s="4" t="inlineStr">
        <is>
          <t>LANDSLIDE_AFFECTED_AREA_HIGH_MODERATE</t>
        </is>
      </c>
      <c r="L2" s="4" t="inlineStr">
        <is>
          <t>LANDSLIDE_AFFECTED_ROAD_LENGTH</t>
        </is>
      </c>
      <c r="M2" s="4" t="inlineStr">
        <is>
          <t>LANDSLIDE_PRONE_HUMAN_SETTLEMENTS</t>
        </is>
      </c>
      <c r="N2" s="4" t="inlineStr">
        <is>
          <t>MAXIMUM_LANDSLIDE_AFFECTED_PEOPLE_DURING_1974_TO_2023</t>
        </is>
      </c>
      <c r="O2" s="4" t="inlineStr">
        <is>
          <t>PUBLIC_HOSPITALS</t>
        </is>
      </c>
      <c r="P2" s="4" t="inlineStr">
        <is>
          <t>ROAD_DENSITY</t>
        </is>
      </c>
      <c r="Q2" s="4" t="inlineStr">
        <is>
          <t>SCHOOLS_LANDSLIDE_PRONE_AREA_HIGH_MODERATE</t>
        </is>
      </c>
      <c r="R2" s="2" t="inlineStr">
        <is>
          <t>DATA_SOURCE</t>
        </is>
      </c>
      <c r="S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Cutting failures &amp;  Earth slips (2000 - 2023)
&gt;&gt; fixed window - same value on both period tabs</t>
        </is>
      </c>
      <c r="G3" s="5" t="inlineStr">
        <is>
          <t>hazard: Landslide  events (1974 - 2023)
&gt;&gt; fixed window - same value on both period tabs</t>
        </is>
      </c>
      <c r="H3" s="5" t="inlineStr">
        <is>
          <t>hazard: Landslide Hazard Index
&gt;&gt; fixed window - same value on both period tabs</t>
        </is>
      </c>
      <c r="I3" s="5" t="inlineStr">
        <is>
          <t>hazard: Very wet days (95th percentile) and 3 day cumulative rain fall (out of 35 - 40% for very wet days and 60% for 3 day cumulative respectively)
&gt;&gt; enter a TYPICAL YEAR (not a total)</t>
        </is>
      </c>
      <c r="J3" s="5" t="inlineStr">
        <is>
          <t>exposure: No. of buildings in landslide prone area (high and moderate)
&gt;&gt; enter a TYPICAL YEAR (not a total)</t>
        </is>
      </c>
      <c r="K3" s="5" t="inlineStr">
        <is>
          <t>exposure: Total of  Landslide  affected area (High and Moderate)
&gt;&gt; enter a TYPICAL YEAR (not a total)</t>
        </is>
      </c>
      <c r="L3" s="5" t="inlineStr">
        <is>
          <t>exposure: landslide affected  road length
&gt;&gt; enter a TYPICAL YEAR (not a total)</t>
        </is>
      </c>
      <c r="M3" s="5" t="inlineStr">
        <is>
          <t>exposure: Landslide prone Human Settlements
&gt;&gt; enter a TYPICAL YEAR (not a total)</t>
        </is>
      </c>
      <c r="N3" s="5" t="inlineStr">
        <is>
          <t>exposure: Max # of Landslide affected People during 1974 to 2023
&gt;&gt; enter the MAXIMUM (already a fixed-window figure)</t>
        </is>
      </c>
      <c r="O3" s="5" t="inlineStr">
        <is>
          <t>exposure: No. of Public hospitals
&gt;&gt; enter a TYPICAL YEAR (not a total)</t>
        </is>
      </c>
      <c r="P3" s="5" t="inlineStr">
        <is>
          <t>exposure: Road Density
&gt;&gt; enter a TYPICAL YEAR (not a total)</t>
        </is>
      </c>
      <c r="Q3" s="5" t="inlineStr">
        <is>
          <t>exposure: Schools  in landslide prone area (high and moderate)
&gt;&gt; enter a TYPICAL YEAR (not a total)</t>
        </is>
      </c>
      <c r="R3" s="5" t="inlineStr">
        <is>
          <t>origin of the numbers</t>
        </is>
      </c>
      <c r="S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inlineStr">
        <is>
          <t>Dept. report 2026-2030</t>
        </is>
      </c>
      <c r="S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c r="O5" s="8" t="n"/>
      <c r="P5" s="8" t="n"/>
      <c r="Q5" s="8" t="n"/>
      <c r="R5" s="8" t="n"/>
      <c r="S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c r="O6" s="8" t="n"/>
      <c r="P6" s="8" t="n"/>
      <c r="Q6" s="8" t="n"/>
      <c r="R6" s="8" t="n"/>
      <c r="S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c r="O7" s="8" t="n"/>
      <c r="P7" s="8" t="n"/>
      <c r="Q7" s="8" t="n"/>
      <c r="R7" s="8" t="n"/>
      <c r="S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c r="O8" s="8" t="n"/>
      <c r="P8" s="8" t="n"/>
      <c r="Q8" s="8" t="n"/>
      <c r="R8" s="8" t="n"/>
      <c r="S8" s="8" t="n"/>
    </row>
    <row r="9">
      <c r="A9" s="7" t="inlineStr">
        <is>
          <t>CO5</t>
        </is>
      </c>
      <c r="B9" s="7" t="inlineStr">
        <is>
          <t>Kesbewa</t>
        </is>
      </c>
      <c r="C9" s="7" t="inlineStr">
        <is>
          <t>Colombo</t>
        </is>
      </c>
      <c r="D9" s="7" t="n">
        <v>2026</v>
      </c>
      <c r="E9" s="7" t="n">
        <v>2030</v>
      </c>
      <c r="F9" s="8" t="n"/>
      <c r="G9" s="8" t="n"/>
      <c r="H9" s="8" t="n"/>
      <c r="I9" s="8" t="n"/>
      <c r="J9" s="8" t="n"/>
      <c r="K9" s="8" t="n"/>
      <c r="L9" s="8" t="n"/>
      <c r="M9" s="8" t="n"/>
      <c r="N9" s="8" t="n"/>
      <c r="O9" s="8" t="n"/>
      <c r="P9" s="8" t="n"/>
      <c r="Q9" s="8" t="n"/>
      <c r="R9" s="8" t="n"/>
      <c r="S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c r="O10" s="8" t="n"/>
      <c r="P10" s="8" t="n"/>
      <c r="Q10" s="8" t="n"/>
      <c r="R10" s="8" t="n"/>
      <c r="S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c r="O11" s="8" t="n"/>
      <c r="P11" s="8" t="n"/>
      <c r="Q11" s="8" t="n"/>
      <c r="R11" s="8" t="n"/>
      <c r="S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c r="O12" s="8" t="n"/>
      <c r="P12" s="8" t="n"/>
      <c r="Q12" s="8" t="n"/>
      <c r="R12" s="8" t="n"/>
      <c r="S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c r="O13" s="8" t="n"/>
      <c r="P13" s="8" t="n"/>
      <c r="Q13" s="8" t="n"/>
      <c r="R13" s="8" t="n"/>
      <c r="S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c r="O14" s="8" t="n"/>
      <c r="P14" s="8" t="n"/>
      <c r="Q14" s="8" t="n"/>
      <c r="R14" s="8" t="n"/>
      <c r="S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c r="O15" s="8" t="n"/>
      <c r="P15" s="8" t="n"/>
      <c r="Q15" s="8" t="n"/>
      <c r="R15" s="8" t="n"/>
      <c r="S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c r="O16" s="8" t="n"/>
      <c r="P16" s="8" t="n"/>
      <c r="Q16" s="8" t="n"/>
      <c r="R16" s="8" t="n"/>
      <c r="S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c r="O17" s="8" t="n"/>
      <c r="P17" s="8" t="n"/>
      <c r="Q17" s="8" t="n"/>
      <c r="R17" s="8" t="n"/>
      <c r="S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c r="O18" s="8" t="n"/>
      <c r="P18" s="8" t="n"/>
      <c r="Q18" s="8" t="n"/>
      <c r="R18" s="8" t="n"/>
      <c r="S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c r="O19" s="8" t="n"/>
      <c r="P19" s="8" t="n"/>
      <c r="Q19" s="8" t="n"/>
      <c r="R19" s="8" t="n"/>
      <c r="S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c r="O20" s="8" t="n"/>
      <c r="P20" s="8" t="n"/>
      <c r="Q20" s="8" t="n"/>
      <c r="R20" s="8" t="n"/>
      <c r="S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c r="O21" s="8" t="n"/>
      <c r="P21" s="8" t="n"/>
      <c r="Q21" s="8" t="n"/>
      <c r="R21" s="8" t="n"/>
      <c r="S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c r="O22" s="8" t="n"/>
      <c r="P22" s="8" t="n"/>
      <c r="Q22" s="8" t="n"/>
      <c r="R22" s="8" t="n"/>
      <c r="S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c r="O23" s="8" t="n"/>
      <c r="P23" s="8" t="n"/>
      <c r="Q23" s="8" t="n"/>
      <c r="R23" s="8" t="n"/>
      <c r="S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c r="O24" s="8" t="n"/>
      <c r="P24" s="8" t="n"/>
      <c r="Q24" s="8" t="n"/>
      <c r="R24" s="8" t="n"/>
      <c r="S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c r="O25" s="8" t="n"/>
      <c r="P25" s="8" t="n"/>
      <c r="Q25" s="8" t="n"/>
      <c r="R25" s="8" t="n"/>
      <c r="S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c r="O26" s="8" t="n"/>
      <c r="P26" s="8" t="n"/>
      <c r="Q26" s="8" t="n"/>
      <c r="R26" s="8" t="n"/>
      <c r="S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c r="O27" s="8" t="n"/>
      <c r="P27" s="8" t="n"/>
      <c r="Q27" s="8" t="n"/>
      <c r="R27" s="8" t="n"/>
      <c r="S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c r="O28" s="8" t="n"/>
      <c r="P28" s="8" t="n"/>
      <c r="Q28" s="8" t="n"/>
      <c r="R28" s="8" t="n"/>
      <c r="S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c r="O29" s="8" t="n"/>
      <c r="P29" s="8" t="n"/>
      <c r="Q29" s="8" t="n"/>
      <c r="R29" s="8" t="n"/>
      <c r="S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c r="O30" s="8" t="n"/>
      <c r="P30" s="8" t="n"/>
      <c r="Q30" s="8" t="n"/>
      <c r="R30" s="8" t="n"/>
      <c r="S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c r="O31" s="8" t="n"/>
      <c r="P31" s="8" t="n"/>
      <c r="Q31" s="8" t="n"/>
      <c r="R31" s="8" t="n"/>
      <c r="S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c r="O32" s="8" t="n"/>
      <c r="P32" s="8" t="n"/>
      <c r="Q32" s="8" t="n"/>
      <c r="R32" s="8" t="n"/>
      <c r="S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c r="O33" s="8" t="n"/>
      <c r="P33" s="8" t="n"/>
      <c r="Q33" s="8" t="n"/>
      <c r="R33" s="8" t="n"/>
      <c r="S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c r="O34" s="8" t="n"/>
      <c r="P34" s="8" t="n"/>
      <c r="Q34" s="8" t="n"/>
      <c r="R34" s="8" t="n"/>
      <c r="S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c r="O35" s="8" t="n"/>
      <c r="P35" s="8" t="n"/>
      <c r="Q35" s="8" t="n"/>
      <c r="R35" s="8" t="n"/>
      <c r="S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c r="O36" s="8" t="n"/>
      <c r="P36" s="8" t="n"/>
      <c r="Q36" s="8" t="n"/>
      <c r="R36" s="8" t="n"/>
      <c r="S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c r="O37" s="8" t="n"/>
      <c r="P37" s="8" t="n"/>
      <c r="Q37" s="8" t="n"/>
      <c r="R37" s="8" t="n"/>
      <c r="S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c r="O38" s="8" t="n"/>
      <c r="P38" s="8" t="n"/>
      <c r="Q38" s="8" t="n"/>
      <c r="R38" s="8" t="n"/>
      <c r="S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c r="O39" s="8" t="n"/>
      <c r="P39" s="8" t="n"/>
      <c r="Q39" s="8" t="n"/>
      <c r="R39" s="8" t="n"/>
      <c r="S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c r="O40" s="8" t="n"/>
      <c r="P40" s="8" t="n"/>
      <c r="Q40" s="8" t="n"/>
      <c r="R40" s="8" t="n"/>
      <c r="S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c r="O41" s="8" t="n"/>
      <c r="P41" s="8" t="n"/>
      <c r="Q41" s="8" t="n"/>
      <c r="R41" s="8" t="n"/>
      <c r="S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c r="O42" s="8" t="n"/>
      <c r="P42" s="8" t="n"/>
      <c r="Q42" s="8" t="n"/>
      <c r="R42" s="8" t="n"/>
      <c r="S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c r="O43" s="8" t="n"/>
      <c r="P43" s="8" t="n"/>
      <c r="Q43" s="8" t="n"/>
      <c r="R43" s="8" t="n"/>
      <c r="S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c r="O44" s="8" t="n"/>
      <c r="P44" s="8" t="n"/>
      <c r="Q44" s="8" t="n"/>
      <c r="R44" s="8" t="n"/>
      <c r="S44" s="8" t="n"/>
    </row>
  </sheetData>
  <mergeCells count="1">
    <mergeCell ref="A1:S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M5 M6 M7 M8 M9 M10 M11 M12 M13 M14 M15 M16 M17 M18 M19 M20 M21 M22 M23 M24 M25 M26 M27 M28 M29 M30 M31 M32 M33 M34 M35 M36 M37 M38 M39 M40 M41 M42 M43 M44 N5 N6 N7 N8 N9 N10 N11 N12 N13 N14 N15 N16 N17 N18 N19 N20 N21 N22 N23 N24 N25 N26 N27 N28 N29 N30 N31 N32 N33 N34 N35 N36 N37 N38 N39 N40 N41 N42 N43 N44 O5 O6 O7 O8 O9 O10 O11 O12 O13 O14 O15 O16 O17 O18 O19 O20 O21 O22 O23 O24 O25 O26 O27 O28 O29 O30 O31 O32 O33 O34 O35 O36 O37 O38 O39 O40 O41 O42 O43 O44 P5 P6 P7 P8 P9 P10 P11 P12 P13 P14 P15 P16 P17 P18 P19 P20 P21 P22 P23 P24 P25 P26 P27 P28 P29 P30 P31 P32 P33 P34 P35 P36 P37 P38 P39 P40 P41 P42 P43 P44 Q5 Q6 Q7 Q8 Q9 Q10 Q11 Q12 Q13 Q14 Q15 Q16 Q17 Q18 Q19 Q20 Q21 Q22 Q23 Q24 Q25 Q26 Q27 Q28 Q29 Q30 Q31 Q32 Q33 Q34 Q35 Q36 Q37 Q38 Q39 Q40 Q41 Q42 Q43 Q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8"/>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Landslide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CUTTING_FAILURES_EARTH_SLIPS_2000_TO_2023</t>
        </is>
      </c>
      <c r="B4" s="11" t="inlineStr">
        <is>
          <t>Cutting failures &amp;  Earth slips (2000 - 2023)</t>
        </is>
      </c>
      <c r="C4" s="11" t="inlineStr">
        <is>
          <t>hazard</t>
        </is>
      </c>
      <c r="D4" s="11" t="inlineStr">
        <is>
          <t>+</t>
        </is>
      </c>
      <c r="E4" s="11" t="n">
        <v>20</v>
      </c>
      <c r="F4" s="12" t="n">
        <v>20</v>
      </c>
      <c r="G4" s="11" t="inlineStr"/>
    </row>
    <row r="5">
      <c r="A5" s="11" t="inlineStr">
        <is>
          <t>LANDSLIDE_EVENTS_1974_TO_2023</t>
        </is>
      </c>
      <c r="B5" s="11" t="inlineStr">
        <is>
          <t>Landslide  events (1974 - 2023)</t>
        </is>
      </c>
      <c r="C5" s="11" t="inlineStr">
        <is>
          <t>hazard</t>
        </is>
      </c>
      <c r="D5" s="11" t="inlineStr">
        <is>
          <t>+</t>
        </is>
      </c>
      <c r="E5" s="11" t="n">
        <v>50</v>
      </c>
      <c r="F5" s="12" t="n">
        <v>50</v>
      </c>
      <c r="G5" s="11" t="inlineStr"/>
    </row>
    <row r="6">
      <c r="A6" s="13" t="inlineStr">
        <is>
          <t>LANDSLIDE_HAZARD_INDEX</t>
        </is>
      </c>
      <c r="B6" s="13" t="inlineStr">
        <is>
          <t>Landslide Hazard Index</t>
        </is>
      </c>
      <c r="C6" s="13" t="inlineStr">
        <is>
          <t>hazard</t>
        </is>
      </c>
      <c r="D6" s="13" t="n"/>
      <c r="E6" s="13" t="n"/>
      <c r="F6" s="12" t="n"/>
      <c r="G6" s="13" t="inlineStr"/>
    </row>
    <row r="7">
      <c r="A7" s="11" t="inlineStr">
        <is>
          <t>VERY_WET_DAYS</t>
        </is>
      </c>
      <c r="B7" s="11" t="inlineStr">
        <is>
          <t>Very wet days (95th percentile) and 3 day cumulative rain fall (out of 35 - 40% for very wet days and 60% for 3 day cumulative respectively)</t>
        </is>
      </c>
      <c r="C7" s="11" t="inlineStr">
        <is>
          <t>hazard</t>
        </is>
      </c>
      <c r="D7" s="11" t="inlineStr">
        <is>
          <t>+</t>
        </is>
      </c>
      <c r="E7" s="11" t="n">
        <v>30</v>
      </c>
      <c r="F7" s="12" t="n">
        <v>30</v>
      </c>
      <c r="G7" s="11" t="inlineStr"/>
    </row>
    <row r="8">
      <c r="A8" s="11" t="inlineStr">
        <is>
          <t>BUILDINGS_LANDSLIDE_PRONE_AREA_HIGH_MODERATE</t>
        </is>
      </c>
      <c r="B8" s="11" t="inlineStr">
        <is>
          <t>No. of buildings in landslide prone area (high and moderate)</t>
        </is>
      </c>
      <c r="C8" s="11" t="inlineStr">
        <is>
          <t>exposure</t>
        </is>
      </c>
      <c r="D8" s="11" t="inlineStr">
        <is>
          <t>+</t>
        </is>
      </c>
      <c r="E8" s="11" t="n">
        <v>15</v>
      </c>
      <c r="F8" s="12" t="n">
        <v>15</v>
      </c>
      <c r="G8" s="11" t="inlineStr"/>
    </row>
    <row r="9">
      <c r="A9" s="13" t="inlineStr">
        <is>
          <t>LANDSLIDE_AFFECTED_AREA_HIGH_MODERATE</t>
        </is>
      </c>
      <c r="B9" s="13" t="inlineStr">
        <is>
          <t>Total of  Landslide  affected area (High and Moderate)</t>
        </is>
      </c>
      <c r="C9" s="13" t="inlineStr">
        <is>
          <t>exposure</t>
        </is>
      </c>
      <c r="D9" s="13" t="n"/>
      <c r="E9" s="13" t="n"/>
      <c r="F9" s="12" t="n"/>
      <c r="G9" s="13" t="inlineStr"/>
    </row>
    <row r="10">
      <c r="A10" s="11" t="inlineStr">
        <is>
          <t>LANDSLIDE_AFFECTED_ROAD_LENGTH</t>
        </is>
      </c>
      <c r="B10" s="11" t="inlineStr">
        <is>
          <t>landslide affected  road length</t>
        </is>
      </c>
      <c r="C10" s="11" t="inlineStr">
        <is>
          <t>exposure</t>
        </is>
      </c>
      <c r="D10" s="11" t="inlineStr">
        <is>
          <t>+</t>
        </is>
      </c>
      <c r="E10" s="11" t="n">
        <v>15</v>
      </c>
      <c r="F10" s="12" t="n">
        <v>15</v>
      </c>
      <c r="G10" s="11" t="inlineStr"/>
    </row>
    <row r="11">
      <c r="A11" s="11" t="inlineStr">
        <is>
          <t>LANDSLIDE_PRONE_HUMAN_SETTLEMENTS</t>
        </is>
      </c>
      <c r="B11" s="11" t="inlineStr">
        <is>
          <t>Landslide prone Human Settlements</t>
        </is>
      </c>
      <c r="C11" s="11" t="inlineStr">
        <is>
          <t>exposure</t>
        </is>
      </c>
      <c r="D11" s="11" t="inlineStr">
        <is>
          <t>+</t>
        </is>
      </c>
      <c r="E11" s="11" t="n">
        <v>10</v>
      </c>
      <c r="F11" s="12" t="n">
        <v>10</v>
      </c>
      <c r="G11" s="11" t="inlineStr"/>
    </row>
    <row r="12">
      <c r="A12" s="11" t="inlineStr">
        <is>
          <t>MAXIMUM_LANDSLIDE_AFFECTED_PEOPLE_DURING_1974_TO_2023</t>
        </is>
      </c>
      <c r="B12" s="11" t="inlineStr">
        <is>
          <t>Max # of Landslide affected People during 1974 to 2023</t>
        </is>
      </c>
      <c r="C12" s="11" t="inlineStr">
        <is>
          <t>exposure</t>
        </is>
      </c>
      <c r="D12" s="11" t="inlineStr">
        <is>
          <t>+</t>
        </is>
      </c>
      <c r="E12" s="11" t="n">
        <v>20</v>
      </c>
      <c r="F12" s="12" t="n">
        <v>20</v>
      </c>
      <c r="G12" s="11" t="inlineStr"/>
    </row>
    <row r="13">
      <c r="A13" s="11" t="inlineStr">
        <is>
          <t>PUBLIC_HOSPITALS</t>
        </is>
      </c>
      <c r="B13" s="11" t="inlineStr">
        <is>
          <t>No. of Public hospitals</t>
        </is>
      </c>
      <c r="C13" s="11" t="inlineStr">
        <is>
          <t>exposure</t>
        </is>
      </c>
      <c r="D13" s="11" t="inlineStr">
        <is>
          <t>-</t>
        </is>
      </c>
      <c r="E13" s="11" t="n">
        <v>10</v>
      </c>
      <c r="F13" s="12" t="n">
        <v>10</v>
      </c>
      <c r="G13" s="11" t="inlineStr"/>
    </row>
    <row r="14">
      <c r="A14" s="11" t="inlineStr">
        <is>
          <t>ROAD_DENSITY</t>
        </is>
      </c>
      <c r="B14" s="11" t="inlineStr">
        <is>
          <t>Road Density</t>
        </is>
      </c>
      <c r="C14" s="11" t="inlineStr">
        <is>
          <t>exposure</t>
        </is>
      </c>
      <c r="D14" s="11" t="inlineStr">
        <is>
          <t>-</t>
        </is>
      </c>
      <c r="E14" s="11" t="n">
        <v>10</v>
      </c>
      <c r="F14" s="12" t="n">
        <v>10</v>
      </c>
      <c r="G14" s="11" t="inlineStr"/>
    </row>
    <row r="15">
      <c r="A15" s="11" t="inlineStr">
        <is>
          <t>SCHOOLS_LANDSLIDE_PRONE_AREA_HIGH_MODERATE</t>
        </is>
      </c>
      <c r="B15" s="11" t="inlineStr">
        <is>
          <t>Schools  in landslide prone area (high and moderate)</t>
        </is>
      </c>
      <c r="C15" s="11" t="inlineStr">
        <is>
          <t>exposure</t>
        </is>
      </c>
      <c r="D15" s="11" t="inlineStr">
        <is>
          <t>+</t>
        </is>
      </c>
      <c r="E15" s="11" t="n">
        <v>10</v>
      </c>
      <c r="F15" s="12" t="n">
        <v>10</v>
      </c>
      <c r="G15" s="11" t="inlineStr"/>
    </row>
    <row r="17">
      <c r="A17" s="14" t="inlineStr">
        <is>
          <t>SUM - hazard (must equal 100)</t>
        </is>
      </c>
      <c r="F17" s="15">
        <f>F4+F5+F6+F7</f>
        <v/>
      </c>
    </row>
    <row r="18">
      <c r="A18" s="14" t="inlineStr">
        <is>
          <t>SUM - exposure (must equal 100)</t>
        </is>
      </c>
      <c r="F18" s="15">
        <f>F8+F9+F10+F11+F12+F13+F14+F15</f>
        <v/>
      </c>
    </row>
  </sheetData>
  <mergeCells count="1">
    <mergeCell ref="A2:G2"/>
  </mergeCells>
  <dataValidations count="1">
    <dataValidation sqref="F4 F5 F6 F7 F8 F9 F10 F11 F12 F13 F14 F15"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HUMAN_SETTLEMENTS_LANDSLIDE_WES_V1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1" t="inlineStr">
        <is>
          <t>CUTTING_FAILURES_EARTH_SLIPS_2000_TO_2023</t>
        </is>
      </c>
      <c r="B18" s="11" t="inlineStr">
        <is>
          <t>Cutting failures &amp;  Earth slips (2000 - 2023)</t>
        </is>
      </c>
      <c r="C18" s="11" t="inlineStr">
        <is>
          <t>hazard</t>
        </is>
      </c>
      <c r="D18" s="11" t="inlineStr">
        <is>
          <t>+</t>
        </is>
      </c>
      <c r="E18" s="11" t="n">
        <v>20</v>
      </c>
      <c r="F18" s="11" t="inlineStr">
        <is>
          <t>fixed window - same value on both period tabs</t>
        </is>
      </c>
    </row>
    <row r="19">
      <c r="A19" s="11" t="inlineStr">
        <is>
          <t>LANDSLIDE_EVENTS_1974_TO_2023</t>
        </is>
      </c>
      <c r="B19" s="11" t="inlineStr">
        <is>
          <t>Landslide  events (1974 - 2023)</t>
        </is>
      </c>
      <c r="C19" s="11" t="inlineStr">
        <is>
          <t>hazard</t>
        </is>
      </c>
      <c r="D19" s="11" t="inlineStr">
        <is>
          <t>+</t>
        </is>
      </c>
      <c r="E19" s="11" t="n">
        <v>50</v>
      </c>
      <c r="F19" s="11" t="inlineStr">
        <is>
          <t>fixed window - same value on both period tabs</t>
        </is>
      </c>
    </row>
    <row r="20">
      <c r="A20" s="11" t="inlineStr">
        <is>
          <t>LANDSLIDE_HAZARD_INDEX</t>
        </is>
      </c>
      <c r="B20" s="11" t="inlineStr">
        <is>
          <t>Landslide Hazard Index</t>
        </is>
      </c>
      <c r="C20" s="11" t="inlineStr">
        <is>
          <t>hazard</t>
        </is>
      </c>
      <c r="D20" s="11" t="n"/>
      <c r="E20" s="11" t="n"/>
      <c r="F20" s="11" t="inlineStr">
        <is>
          <t>fixed window - same value on both period tabs</t>
        </is>
      </c>
    </row>
    <row r="21">
      <c r="A21" s="11" t="inlineStr">
        <is>
          <t>VERY_WET_DAYS</t>
        </is>
      </c>
      <c r="B21" s="11" t="inlineStr">
        <is>
          <t>Very wet days (95th percentile) and 3 day cumulative rain fall (out of 35 - 40% for very wet days and 60% for 3 day cumulative respectively)</t>
        </is>
      </c>
      <c r="C21" s="11" t="inlineStr">
        <is>
          <t>hazard</t>
        </is>
      </c>
      <c r="D21" s="11" t="inlineStr">
        <is>
          <t>+</t>
        </is>
      </c>
      <c r="E21" s="11" t="n">
        <v>30</v>
      </c>
      <c r="F21" s="11" t="inlineStr">
        <is>
          <t>enter a TYPICAL YEAR (not a total)</t>
        </is>
      </c>
    </row>
    <row r="22">
      <c r="A22" s="11" t="inlineStr">
        <is>
          <t>BUILDINGS_LANDSLIDE_PRONE_AREA_HIGH_MODERATE</t>
        </is>
      </c>
      <c r="B22" s="11" t="inlineStr">
        <is>
          <t>No. of buildings in landslide prone area (high and moderate)</t>
        </is>
      </c>
      <c r="C22" s="11" t="inlineStr">
        <is>
          <t>exposure</t>
        </is>
      </c>
      <c r="D22" s="11" t="inlineStr">
        <is>
          <t>+</t>
        </is>
      </c>
      <c r="E22" s="11" t="n">
        <v>15</v>
      </c>
      <c r="F22" s="11" t="inlineStr">
        <is>
          <t>enter a TYPICAL YEAR (not a total)</t>
        </is>
      </c>
    </row>
    <row r="23">
      <c r="A23" s="11" t="inlineStr">
        <is>
          <t>LANDSLIDE_AFFECTED_AREA_HIGH_MODERATE</t>
        </is>
      </c>
      <c r="B23" s="11" t="inlineStr">
        <is>
          <t>Total of  Landslide  affected area (High and Moderate)</t>
        </is>
      </c>
      <c r="C23" s="11" t="inlineStr">
        <is>
          <t>exposure</t>
        </is>
      </c>
      <c r="D23" s="11" t="n"/>
      <c r="E23" s="11" t="n"/>
      <c r="F23" s="11" t="inlineStr">
        <is>
          <t>enter a TYPICAL YEAR (not a total)</t>
        </is>
      </c>
    </row>
    <row r="24">
      <c r="A24" s="11" t="inlineStr">
        <is>
          <t>LANDSLIDE_AFFECTED_ROAD_LENGTH</t>
        </is>
      </c>
      <c r="B24" s="11" t="inlineStr">
        <is>
          <t>landslide affected  road length</t>
        </is>
      </c>
      <c r="C24" s="11" t="inlineStr">
        <is>
          <t>exposure</t>
        </is>
      </c>
      <c r="D24" s="11" t="inlineStr">
        <is>
          <t>+</t>
        </is>
      </c>
      <c r="E24" s="11" t="n">
        <v>15</v>
      </c>
      <c r="F24" s="11" t="inlineStr">
        <is>
          <t>enter a TYPICAL YEAR (not a total)</t>
        </is>
      </c>
    </row>
    <row r="25">
      <c r="A25" s="11" t="inlineStr">
        <is>
          <t>LANDSLIDE_PRONE_HUMAN_SETTLEMENTS</t>
        </is>
      </c>
      <c r="B25" s="11" t="inlineStr">
        <is>
          <t>Landslide prone Human Settlements</t>
        </is>
      </c>
      <c r="C25" s="11" t="inlineStr">
        <is>
          <t>exposure</t>
        </is>
      </c>
      <c r="D25" s="11" t="inlineStr">
        <is>
          <t>+</t>
        </is>
      </c>
      <c r="E25" s="11" t="n">
        <v>10</v>
      </c>
      <c r="F25" s="11" t="inlineStr">
        <is>
          <t>enter a TYPICAL YEAR (not a total)</t>
        </is>
      </c>
    </row>
    <row r="26">
      <c r="A26" s="11" t="inlineStr">
        <is>
          <t>MAXIMUM_LANDSLIDE_AFFECTED_PEOPLE_DURING_1974_TO_2023</t>
        </is>
      </c>
      <c r="B26" s="11" t="inlineStr">
        <is>
          <t>Max # of Landslide affected People during 1974 to 2023</t>
        </is>
      </c>
      <c r="C26" s="11" t="inlineStr">
        <is>
          <t>exposure</t>
        </is>
      </c>
      <c r="D26" s="11" t="inlineStr">
        <is>
          <t>+</t>
        </is>
      </c>
      <c r="E26" s="11" t="n">
        <v>20</v>
      </c>
      <c r="F26" s="11" t="inlineStr">
        <is>
          <t>enter the MAXIMUM (already a fixed-window figure)</t>
        </is>
      </c>
    </row>
    <row r="27">
      <c r="A27" s="11" t="inlineStr">
        <is>
          <t>PUBLIC_HOSPITALS</t>
        </is>
      </c>
      <c r="B27" s="11" t="inlineStr">
        <is>
          <t>No. of Public hospitals</t>
        </is>
      </c>
      <c r="C27" s="11" t="inlineStr">
        <is>
          <t>exposure</t>
        </is>
      </c>
      <c r="D27" s="11" t="inlineStr">
        <is>
          <t>-</t>
        </is>
      </c>
      <c r="E27" s="11" t="n">
        <v>10</v>
      </c>
      <c r="F27" s="11" t="inlineStr">
        <is>
          <t>enter a TYPICAL YEAR (not a total)</t>
        </is>
      </c>
    </row>
    <row r="28">
      <c r="A28" s="11" t="inlineStr">
        <is>
          <t>ROAD_DENSITY</t>
        </is>
      </c>
      <c r="B28" s="11" t="inlineStr">
        <is>
          <t>Road Density</t>
        </is>
      </c>
      <c r="C28" s="11" t="inlineStr">
        <is>
          <t>exposure</t>
        </is>
      </c>
      <c r="D28" s="11" t="inlineStr">
        <is>
          <t>-</t>
        </is>
      </c>
      <c r="E28" s="11" t="n">
        <v>10</v>
      </c>
      <c r="F28" s="11" t="inlineStr">
        <is>
          <t>enter a TYPICAL YEAR (not a total)</t>
        </is>
      </c>
    </row>
    <row r="29">
      <c r="A29" s="11" t="inlineStr">
        <is>
          <t>SCHOOLS_LANDSLIDE_PRONE_AREA_HIGH_MODERATE</t>
        </is>
      </c>
      <c r="B29" s="11" t="inlineStr">
        <is>
          <t>Schools  in landslide prone area (high and moderate)</t>
        </is>
      </c>
      <c r="C29" s="11" t="inlineStr">
        <is>
          <t>exposure</t>
        </is>
      </c>
      <c r="D29" s="11" t="inlineStr">
        <is>
          <t>+</t>
        </is>
      </c>
      <c r="E29" s="11" t="n">
        <v>10</v>
      </c>
      <c r="F29" s="11"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HUMAN_SETTLEMENTS_LANDSLIDE_WES_V1</t>
        </is>
      </c>
    </row>
    <row r="2">
      <c r="A2" s="17" t="inlineStr">
        <is>
          <t>version</t>
        </is>
      </c>
      <c r="B2" s="17" t="n">
        <v>1</v>
      </c>
    </row>
    <row r="3">
      <c r="A3" s="17" t="inlineStr">
        <is>
          <t>province</t>
        </is>
      </c>
      <c r="B3" s="17" t="inlineStr">
        <is>
          <t>Western</t>
        </is>
      </c>
    </row>
    <row r="4">
      <c r="A4" s="17" t="inlineStr">
        <is>
          <t>main_sector</t>
        </is>
      </c>
      <c r="B4" s="17" t="inlineStr">
        <is>
          <t>Human Settlements Sector</t>
        </is>
      </c>
    </row>
    <row r="5">
      <c r="A5" s="17" t="inlineStr">
        <is>
          <t>subsector</t>
        </is>
      </c>
      <c r="B5" s="17" t="inlineStr"/>
    </row>
    <row r="6">
      <c r="A6" s="17" t="inlineStr">
        <is>
          <t>hazard</t>
        </is>
      </c>
      <c r="B6" s="17" t="inlineStr">
        <is>
          <t>Landslide</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12</v>
      </c>
    </row>
    <row r="14">
      <c r="A14" s="17" t="inlineStr">
        <is>
          <t>period_rule_default</t>
        </is>
      </c>
      <c r="B14" s="17" t="inlineStr">
        <is>
          <t>average (typical year); periods are contiguous, no overlap</t>
        </is>
      </c>
    </row>
    <row r="15">
      <c r="A15" s="17" t="inlineStr">
        <is>
          <t>period_aggregation</t>
        </is>
      </c>
      <c r="B15" s="17" t="inlineStr">
        <is>
          <t>CUTTING_FAILURES_EARTH_SLIPS_2000_TO_2023=fixed_window|LANDSLIDE_EVENTS_1974_TO_2023=fixed_window|LANDSLIDE_HAZARD_INDEX=fixed_window|VERY_WET_DAYS=average|BUILDINGS_LANDSLIDE_PRONE_AREA_HIGH_MODERATE=average|LANDSLIDE_AFFECTED_AREA_HIGH_MODERATE=average|LANDSLIDE_AFFECTED_ROAD_LENGTH=average|LANDSLIDE_PRONE_HUMAN_SETTLEMENTS=average|MAXIMUM_LANDSLIDE_AFFECTED_PEOPLE_DURING_1974_TO_2023=max|PUBLIC_HOSPITALS=average|ROAD_DENSITY=average|SCHOOLS_LANDSLIDE_PRONE_AREA_HIGH_MODERATE=average</t>
        </is>
      </c>
    </row>
    <row r="16">
      <c r="A16" s="17" t="inlineStr">
        <is>
          <t>expected_columns</t>
        </is>
      </c>
      <c r="B16" s="17" t="inlineStr">
        <is>
          <t>DS_CODE|DS_DIVISION|DISTRICT|YEAR_START|YEAR_END|CUTTING_FAILURES_EARTH_SLIPS_2000_TO_2023|LANDSLIDE_EVENTS_1974_TO_2023|LANDSLIDE_HAZARD_INDEX|VERY_WET_DAYS|BUILDINGS_LANDSLIDE_PRONE_AREA_HIGH_MODERATE|LANDSLIDE_AFFECTED_AREA_HIGH_MODERATE|LANDSLIDE_AFFECTED_ROAD_LENGTH|LANDSLIDE_PRONE_HUMAN_SETTLEMENTS|MAXIMUM_LANDSLIDE_AFFECTED_PEOPLE_DURING_1974_TO_2023|PUBLIC_HOSPITALS|ROAD_DENSITY|SCHOOLS_LANDSLIDE_PRONE_AREA_HIGH_MODERATE|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2026-09-03T04:02:47Z</dcterms:created>
  <dcterms:modified xmlns:dcterms="http://purl.org/dc/terms/" xmlns:xsi="http://www.w3.org/2001/XMLSchema-instance" xsi:type="dcterms:W3CDTF">2026-09-03T04:02:47Z</dcterms:modified>
</cp:coreProperties>
</file>