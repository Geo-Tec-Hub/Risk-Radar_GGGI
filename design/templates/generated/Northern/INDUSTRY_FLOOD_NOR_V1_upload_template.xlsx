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2021-2025 - Industry Sector - Flood - Northern Province   [profile INDUSTRY_FLOOD_NOR_V1]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ESTABLISHMENTS_MANUFACTURING_INDUSTRIES</t>
        </is>
      </c>
      <c r="N2" s="4" t="inlineStr">
        <is>
          <t>FLOOD_AFFECTED_ROAD_LENGTH</t>
        </is>
      </c>
      <c r="O2" s="4" t="inlineStr">
        <is>
          <t>INDUSTRIAL_ESTABLISHMENTS_SMALL_INFORMAL_INDUSTRIES</t>
        </is>
      </c>
      <c r="P2" s="4" t="inlineStr">
        <is>
          <t>MAXIMUM_FLOOD_AFFECTED_PEOPLE_DURING_1974_TO_2023</t>
        </is>
      </c>
      <c r="Q2" s="4" t="inlineStr">
        <is>
          <t>MINING_QUARRYING_INDUSTRIES</t>
        </is>
      </c>
      <c r="R2" s="4" t="inlineStr">
        <is>
          <t>PERSONS_ENGAGED_FISH_PROCESSING_INDUSTRIES</t>
        </is>
      </c>
      <c r="S2" s="4" t="inlineStr">
        <is>
          <t>PERSONS_ENGAGED_MANUFACTURE_DAIRY_PRODUCT_INDUSTRIES</t>
        </is>
      </c>
      <c r="T2" s="4" t="inlineStr">
        <is>
          <t>PERSONS_ENGAGED_SMALL_INFORMAL_INDUSTRIES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Total establishments in  manufacturing Industries
&gt;&gt; enter a TYPICAL YEAR (not a total)</t>
        </is>
      </c>
      <c r="N3" s="5" t="inlineStr">
        <is>
          <t>exposure: Flood affected  road length
&gt;&gt; enter a TYPICAL YEAR (not a total)</t>
        </is>
      </c>
      <c r="O3" s="5" t="inlineStr">
        <is>
          <t>exposure: Total No. of Industrial establishments (small and informal industries)
&gt;&gt; enter a TYPICAL YEAR (not a total)</t>
        </is>
      </c>
      <c r="P3" s="5" t="inlineStr">
        <is>
          <t>exposure: Max # of flood affected People during 1974 to 2023 (1974 -2004, 25%, 2005 -2023, 75%)
&gt;&gt; enter the MAXIMUM (already a fixed-window figure)</t>
        </is>
      </c>
      <c r="Q3" s="5" t="inlineStr">
        <is>
          <t>exposure: Total No. of Mining &amp; Quarrying industries
&gt;&gt; enter a TYPICAL YEAR (not a total)</t>
        </is>
      </c>
      <c r="R3" s="5" t="inlineStr">
        <is>
          <t>exposure: Persons engaged in processing and preserving of fish, crustaceans and mollusks industries
&gt;&gt; enter a TYPICAL YEAR (not a total)</t>
        </is>
      </c>
      <c r="S3" s="5" t="inlineStr">
        <is>
          <t>exposure: Persons engaged in manufacture of dairy product industries
&gt;&gt; enter a TYPICAL YEAR (not a total)</t>
        </is>
      </c>
      <c r="T3" s="5" t="inlineStr">
        <is>
          <t>exposure: Total Persons engaged (small and informal industries)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2021-2025</t>
        </is>
      </c>
      <c r="V4" s="6" t="inlineStr">
        <is>
          <t>example row</t>
        </is>
      </c>
    </row>
    <row r="5">
      <c r="A5" s="7" t="inlineStr">
        <is>
          <t>JA1</t>
        </is>
      </c>
      <c r="B5" s="7" t="inlineStr">
        <is>
          <t>Delft</t>
        </is>
      </c>
      <c r="C5" s="7" t="inlineStr">
        <is>
          <t>Jaffna</t>
        </is>
      </c>
      <c r="D5" s="7" t="n">
        <v>2021</v>
      </c>
      <c r="E5" s="7" t="n">
        <v>2025</v>
      </c>
      <c r="F5" s="8" t="n"/>
      <c r="G5" s="8" t="n"/>
      <c r="H5" s="8" t="n"/>
      <c r="I5" s="8" t="n"/>
      <c r="J5" s="8" t="n"/>
      <c r="K5" s="8" t="n"/>
      <c r="L5" s="8" t="n"/>
      <c r="M5" s="8" t="n"/>
      <c r="N5" s="8" t="n"/>
      <c r="O5" s="8" t="n"/>
      <c r="P5" s="8" t="n"/>
      <c r="Q5" s="8" t="n"/>
      <c r="R5" s="8" t="n"/>
      <c r="S5" s="8" t="n"/>
      <c r="T5" s="8" t="n"/>
      <c r="U5" s="8" t="n"/>
      <c r="V5" s="8" t="n"/>
    </row>
    <row r="6">
      <c r="A6" s="7" t="inlineStr">
        <is>
          <t>JA2</t>
        </is>
      </c>
      <c r="B6" s="7" t="inlineStr">
        <is>
          <t>Islands North(kayts)</t>
        </is>
      </c>
      <c r="C6" s="7" t="inlineStr">
        <is>
          <t>Jaffna</t>
        </is>
      </c>
      <c r="D6" s="7" t="n">
        <v>2021</v>
      </c>
      <c r="E6" s="7" t="n">
        <v>2025</v>
      </c>
      <c r="F6" s="8" t="n"/>
      <c r="G6" s="8" t="n"/>
      <c r="H6" s="8" t="n"/>
      <c r="I6" s="8" t="n"/>
      <c r="J6" s="8" t="n"/>
      <c r="K6" s="8" t="n"/>
      <c r="L6" s="8" t="n"/>
      <c r="M6" s="8" t="n"/>
      <c r="N6" s="8" t="n"/>
      <c r="O6" s="8" t="n"/>
      <c r="P6" s="8" t="n"/>
      <c r="Q6" s="8" t="n"/>
      <c r="R6" s="8" t="n"/>
      <c r="S6" s="8" t="n"/>
      <c r="T6" s="8" t="n"/>
      <c r="U6" s="8" t="n"/>
      <c r="V6" s="8" t="n"/>
    </row>
    <row r="7">
      <c r="A7" s="7" t="inlineStr">
        <is>
          <t>JA3</t>
        </is>
      </c>
      <c r="B7" s="7" t="inlineStr">
        <is>
          <t>Islands South(velanai)</t>
        </is>
      </c>
      <c r="C7" s="7" t="inlineStr">
        <is>
          <t>Jaffna</t>
        </is>
      </c>
      <c r="D7" s="7" t="n">
        <v>2021</v>
      </c>
      <c r="E7" s="7" t="n">
        <v>2025</v>
      </c>
      <c r="F7" s="8" t="n"/>
      <c r="G7" s="8" t="n"/>
      <c r="H7" s="8" t="n"/>
      <c r="I7" s="8" t="n"/>
      <c r="J7" s="8" t="n"/>
      <c r="K7" s="8" t="n"/>
      <c r="L7" s="8" t="n"/>
      <c r="M7" s="8" t="n"/>
      <c r="N7" s="8" t="n"/>
      <c r="O7" s="8" t="n"/>
      <c r="P7" s="8" t="n"/>
      <c r="Q7" s="8" t="n"/>
      <c r="R7" s="8" t="n"/>
      <c r="S7" s="8" t="n"/>
      <c r="T7" s="8" t="n"/>
      <c r="U7" s="8" t="n"/>
      <c r="V7" s="8" t="n"/>
    </row>
    <row r="8">
      <c r="A8" s="7" t="inlineStr">
        <is>
          <t>JA4</t>
        </is>
      </c>
      <c r="B8" s="7" t="inlineStr">
        <is>
          <t>Jaffna</t>
        </is>
      </c>
      <c r="C8" s="7" t="inlineStr">
        <is>
          <t>Jaffna</t>
        </is>
      </c>
      <c r="D8" s="7" t="n">
        <v>2021</v>
      </c>
      <c r="E8" s="7" t="n">
        <v>2025</v>
      </c>
      <c r="F8" s="8" t="n"/>
      <c r="G8" s="8" t="n"/>
      <c r="H8" s="8" t="n"/>
      <c r="I8" s="8" t="n"/>
      <c r="J8" s="8" t="n"/>
      <c r="K8" s="8" t="n"/>
      <c r="L8" s="8" t="n"/>
      <c r="M8" s="8" t="n"/>
      <c r="N8" s="8" t="n"/>
      <c r="O8" s="8" t="n"/>
      <c r="P8" s="8" t="n"/>
      <c r="Q8" s="8" t="n"/>
      <c r="R8" s="8" t="n"/>
      <c r="S8" s="8" t="n"/>
      <c r="T8" s="8" t="n"/>
      <c r="U8" s="8" t="n"/>
      <c r="V8" s="8" t="n"/>
    </row>
    <row r="9">
      <c r="A9" s="7" t="inlineStr">
        <is>
          <t>JA5</t>
        </is>
      </c>
      <c r="B9" s="7" t="inlineStr">
        <is>
          <t>Karainagar</t>
        </is>
      </c>
      <c r="C9" s="7" t="inlineStr">
        <is>
          <t>Jaffna</t>
        </is>
      </c>
      <c r="D9" s="7" t="n">
        <v>2021</v>
      </c>
      <c r="E9" s="7" t="n">
        <v>2025</v>
      </c>
      <c r="F9" s="8" t="n"/>
      <c r="G9" s="8" t="n"/>
      <c r="H9" s="8" t="n"/>
      <c r="I9" s="8" t="n"/>
      <c r="J9" s="8" t="n"/>
      <c r="K9" s="8" t="n"/>
      <c r="L9" s="8" t="n"/>
      <c r="M9" s="8" t="n"/>
      <c r="N9" s="8" t="n"/>
      <c r="O9" s="8" t="n"/>
      <c r="P9" s="8" t="n"/>
      <c r="Q9" s="8" t="n"/>
      <c r="R9" s="8" t="n"/>
      <c r="S9" s="8" t="n"/>
      <c r="T9" s="8" t="n"/>
      <c r="U9" s="8" t="n"/>
      <c r="V9" s="8" t="n"/>
    </row>
    <row r="10">
      <c r="A10" s="7" t="inlineStr">
        <is>
          <t>JA6</t>
        </is>
      </c>
      <c r="B10" s="7" t="inlineStr">
        <is>
          <t>Nallur</t>
        </is>
      </c>
      <c r="C10" s="7" t="inlineStr">
        <is>
          <t>Jaffna</t>
        </is>
      </c>
      <c r="D10" s="7" t="n">
        <v>2021</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JA7</t>
        </is>
      </c>
      <c r="B11" s="7" t="inlineStr">
        <is>
          <t>Thenmaradchi(chavakachcheri)</t>
        </is>
      </c>
      <c r="C11" s="7" t="inlineStr">
        <is>
          <t>Jaffna</t>
        </is>
      </c>
      <c r="D11" s="7" t="n">
        <v>2021</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JA8</t>
        </is>
      </c>
      <c r="B12" s="7" t="inlineStr">
        <is>
          <t>Vadamaradchchi East</t>
        </is>
      </c>
      <c r="C12" s="7" t="inlineStr">
        <is>
          <t>Jaffna</t>
        </is>
      </c>
      <c r="D12" s="7" t="n">
        <v>2021</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JA9</t>
        </is>
      </c>
      <c r="B13" s="7" t="inlineStr">
        <is>
          <t>Vadamaradchchi South-west(karaveddy)</t>
        </is>
      </c>
      <c r="C13" s="7" t="inlineStr">
        <is>
          <t>Jaffna</t>
        </is>
      </c>
      <c r="D13" s="7" t="n">
        <v>2021</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JA10</t>
        </is>
      </c>
      <c r="B14" s="7" t="inlineStr">
        <is>
          <t>Vadamaradchi North(point Pedro)</t>
        </is>
      </c>
      <c r="C14" s="7" t="inlineStr">
        <is>
          <t>Jaffna</t>
        </is>
      </c>
      <c r="D14" s="7" t="n">
        <v>2021</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JA11</t>
        </is>
      </c>
      <c r="B15" s="7" t="inlineStr">
        <is>
          <t>Valikamam East(kopay)</t>
        </is>
      </c>
      <c r="C15" s="7" t="inlineStr">
        <is>
          <t>Jaffna</t>
        </is>
      </c>
      <c r="D15" s="7" t="n">
        <v>2021</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JA12</t>
        </is>
      </c>
      <c r="B16" s="7" t="inlineStr">
        <is>
          <t>Valikamam North(thllippalai)</t>
        </is>
      </c>
      <c r="C16" s="7" t="inlineStr">
        <is>
          <t>Jaffna</t>
        </is>
      </c>
      <c r="D16" s="7" t="n">
        <v>2021</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JA13</t>
        </is>
      </c>
      <c r="B17" s="7" t="inlineStr">
        <is>
          <t>Valikamam South West(sandilipay)</t>
        </is>
      </c>
      <c r="C17" s="7" t="inlineStr">
        <is>
          <t>Jaffna</t>
        </is>
      </c>
      <c r="D17" s="7" t="n">
        <v>2021</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JA14</t>
        </is>
      </c>
      <c r="B18" s="7" t="inlineStr">
        <is>
          <t>Valikamam South(uduvil)</t>
        </is>
      </c>
      <c r="C18" s="7" t="inlineStr">
        <is>
          <t>Jaffna</t>
        </is>
      </c>
      <c r="D18" s="7" t="n">
        <v>2021</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JA15</t>
        </is>
      </c>
      <c r="B19" s="7" t="inlineStr">
        <is>
          <t>Valikamam West(chankanai)</t>
        </is>
      </c>
      <c r="C19" s="7" t="inlineStr">
        <is>
          <t>Jaffna</t>
        </is>
      </c>
      <c r="D19" s="7" t="n">
        <v>2021</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KI1</t>
        </is>
      </c>
      <c r="B20" s="7" t="inlineStr">
        <is>
          <t>Kandavalai</t>
        </is>
      </c>
      <c r="C20" s="7" t="inlineStr">
        <is>
          <t>Kilinochchi</t>
        </is>
      </c>
      <c r="D20" s="7" t="n">
        <v>2021</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KI2</t>
        </is>
      </c>
      <c r="B21" s="7" t="inlineStr">
        <is>
          <t>Karachchi</t>
        </is>
      </c>
      <c r="C21" s="7" t="inlineStr">
        <is>
          <t>Kilinochchi</t>
        </is>
      </c>
      <c r="D21" s="7" t="n">
        <v>2021</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KI3</t>
        </is>
      </c>
      <c r="B22" s="7" t="inlineStr">
        <is>
          <t>Pachchilaipalli</t>
        </is>
      </c>
      <c r="C22" s="7" t="inlineStr">
        <is>
          <t>Kilinochchi</t>
        </is>
      </c>
      <c r="D22" s="7" t="n">
        <v>2021</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KI4</t>
        </is>
      </c>
      <c r="B23" s="7" t="inlineStr">
        <is>
          <t>Poonakary</t>
        </is>
      </c>
      <c r="C23" s="7" t="inlineStr">
        <is>
          <t>Kilinochchi</t>
        </is>
      </c>
      <c r="D23" s="7" t="n">
        <v>2021</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MN1</t>
        </is>
      </c>
      <c r="B24" s="7" t="inlineStr">
        <is>
          <t>Madhu</t>
        </is>
      </c>
      <c r="C24" s="7" t="inlineStr">
        <is>
          <t>Mannar</t>
        </is>
      </c>
      <c r="D24" s="7" t="n">
        <v>2021</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MN2</t>
        </is>
      </c>
      <c r="B25" s="7" t="inlineStr">
        <is>
          <t>Mannar Town</t>
        </is>
      </c>
      <c r="C25" s="7" t="inlineStr">
        <is>
          <t>Mannar</t>
        </is>
      </c>
      <c r="D25" s="7" t="n">
        <v>2021</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MN3</t>
        </is>
      </c>
      <c r="B26" s="7" t="inlineStr">
        <is>
          <t>Manthai West</t>
        </is>
      </c>
      <c r="C26" s="7" t="inlineStr">
        <is>
          <t>Mannar</t>
        </is>
      </c>
      <c r="D26" s="7" t="n">
        <v>2021</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MN4</t>
        </is>
      </c>
      <c r="B27" s="7" t="inlineStr">
        <is>
          <t>Musali</t>
        </is>
      </c>
      <c r="C27" s="7" t="inlineStr">
        <is>
          <t>Mannar</t>
        </is>
      </c>
      <c r="D27" s="7" t="n">
        <v>2021</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MN5</t>
        </is>
      </c>
      <c r="B28" s="7" t="inlineStr">
        <is>
          <t>Nanaddan</t>
        </is>
      </c>
      <c r="C28" s="7" t="inlineStr">
        <is>
          <t>Mannar</t>
        </is>
      </c>
      <c r="D28" s="7" t="n">
        <v>2021</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MU1</t>
        </is>
      </c>
      <c r="B29" s="7" t="inlineStr">
        <is>
          <t>Manthai East</t>
        </is>
      </c>
      <c r="C29" s="7" t="inlineStr">
        <is>
          <t>Mullaitivu</t>
        </is>
      </c>
      <c r="D29" s="7" t="n">
        <v>2021</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MU2</t>
        </is>
      </c>
      <c r="B30" s="7" t="inlineStr">
        <is>
          <t>Maritimepattu</t>
        </is>
      </c>
      <c r="C30" s="7" t="inlineStr">
        <is>
          <t>Mullaitivu</t>
        </is>
      </c>
      <c r="D30" s="7" t="n">
        <v>2021</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MU3</t>
        </is>
      </c>
      <c r="B31" s="7" t="inlineStr">
        <is>
          <t>Oddusuddan</t>
        </is>
      </c>
      <c r="C31" s="7" t="inlineStr">
        <is>
          <t>Mullaitivu</t>
        </is>
      </c>
      <c r="D31" s="7" t="n">
        <v>2021</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MU4</t>
        </is>
      </c>
      <c r="B32" s="7" t="inlineStr">
        <is>
          <t>Puthukkudiyiruppu</t>
        </is>
      </c>
      <c r="C32" s="7" t="inlineStr">
        <is>
          <t>Mullaitivu</t>
        </is>
      </c>
      <c r="D32" s="7" t="n">
        <v>2021</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MU5</t>
        </is>
      </c>
      <c r="B33" s="7" t="inlineStr">
        <is>
          <t>Thunukkai</t>
        </is>
      </c>
      <c r="C33" s="7" t="inlineStr">
        <is>
          <t>Mullaitivu</t>
        </is>
      </c>
      <c r="D33" s="7" t="n">
        <v>2021</v>
      </c>
      <c r="E33" s="7" t="n">
        <v>2025</v>
      </c>
      <c r="F33" s="8" t="n"/>
      <c r="G33" s="8" t="n"/>
      <c r="H33" s="8" t="n"/>
      <c r="I33" s="8" t="n"/>
      <c r="J33" s="8" t="n"/>
      <c r="K33" s="8" t="n"/>
      <c r="L33" s="8" t="n"/>
      <c r="M33" s="8" t="n"/>
      <c r="N33" s="8" t="n"/>
      <c r="O33" s="8" t="n"/>
      <c r="P33" s="8" t="n"/>
      <c r="Q33" s="8" t="n"/>
      <c r="R33" s="8" t="n"/>
      <c r="S33" s="8" t="n"/>
      <c r="T33" s="8" t="n"/>
      <c r="U33" s="8" t="n"/>
      <c r="V33" s="8" t="n"/>
    </row>
    <row r="34">
      <c r="A34" s="7" t="inlineStr">
        <is>
          <t>MU6</t>
        </is>
      </c>
      <c r="B34" s="7" t="inlineStr">
        <is>
          <t>Welioya</t>
        </is>
      </c>
      <c r="C34" s="7" t="inlineStr">
        <is>
          <t>Mullaitivu</t>
        </is>
      </c>
      <c r="D34" s="7" t="n">
        <v>2021</v>
      </c>
      <c r="E34" s="7" t="n">
        <v>2025</v>
      </c>
      <c r="F34" s="8" t="n"/>
      <c r="G34" s="8" t="n"/>
      <c r="H34" s="8" t="n"/>
      <c r="I34" s="8" t="n"/>
      <c r="J34" s="8" t="n"/>
      <c r="K34" s="8" t="n"/>
      <c r="L34" s="8" t="n"/>
      <c r="M34" s="8" t="n"/>
      <c r="N34" s="8" t="n"/>
      <c r="O34" s="8" t="n"/>
      <c r="P34" s="8" t="n"/>
      <c r="Q34" s="8" t="n"/>
      <c r="R34" s="8" t="n"/>
      <c r="S34" s="8" t="n"/>
      <c r="T34" s="8" t="n"/>
      <c r="U34" s="8" t="n"/>
      <c r="V34" s="8" t="n"/>
    </row>
    <row r="35">
      <c r="A35" s="7" t="inlineStr">
        <is>
          <t>VA1</t>
        </is>
      </c>
      <c r="B35" s="7" t="inlineStr">
        <is>
          <t>Vavuniya</t>
        </is>
      </c>
      <c r="C35" s="7" t="inlineStr">
        <is>
          <t>Vavuniya</t>
        </is>
      </c>
      <c r="D35" s="7" t="n">
        <v>2021</v>
      </c>
      <c r="E35" s="7" t="n">
        <v>2025</v>
      </c>
      <c r="F35" s="8" t="n"/>
      <c r="G35" s="8" t="n"/>
      <c r="H35" s="8" t="n"/>
      <c r="I35" s="8" t="n"/>
      <c r="J35" s="8" t="n"/>
      <c r="K35" s="8" t="n"/>
      <c r="L35" s="8" t="n"/>
      <c r="M35" s="8" t="n"/>
      <c r="N35" s="8" t="n"/>
      <c r="O35" s="8" t="n"/>
      <c r="P35" s="8" t="n"/>
      <c r="Q35" s="8" t="n"/>
      <c r="R35" s="8" t="n"/>
      <c r="S35" s="8" t="n"/>
      <c r="T35" s="8" t="n"/>
      <c r="U35" s="8" t="n"/>
      <c r="V35" s="8" t="n"/>
    </row>
    <row r="36">
      <c r="A36" s="7" t="inlineStr">
        <is>
          <t>VA2</t>
        </is>
      </c>
      <c r="B36" s="7" t="inlineStr">
        <is>
          <t>Vavuniya North</t>
        </is>
      </c>
      <c r="C36" s="7" t="inlineStr">
        <is>
          <t>Vavuniya</t>
        </is>
      </c>
      <c r="D36" s="7" t="n">
        <v>2021</v>
      </c>
      <c r="E36" s="7" t="n">
        <v>2025</v>
      </c>
      <c r="F36" s="8" t="n"/>
      <c r="G36" s="8" t="n"/>
      <c r="H36" s="8" t="n"/>
      <c r="I36" s="8" t="n"/>
      <c r="J36" s="8" t="n"/>
      <c r="K36" s="8" t="n"/>
      <c r="L36" s="8" t="n"/>
      <c r="M36" s="8" t="n"/>
      <c r="N36" s="8" t="n"/>
      <c r="O36" s="8" t="n"/>
      <c r="P36" s="8" t="n"/>
      <c r="Q36" s="8" t="n"/>
      <c r="R36" s="8" t="n"/>
      <c r="S36" s="8" t="n"/>
      <c r="T36" s="8" t="n"/>
      <c r="U36" s="8" t="n"/>
      <c r="V36" s="8" t="n"/>
    </row>
    <row r="37">
      <c r="A37" s="7" t="inlineStr">
        <is>
          <t>VA3</t>
        </is>
      </c>
      <c r="B37" s="7" t="inlineStr">
        <is>
          <t>Vavuniya South</t>
        </is>
      </c>
      <c r="C37" s="7" t="inlineStr">
        <is>
          <t>Vavuniya</t>
        </is>
      </c>
      <c r="D37" s="7" t="n">
        <v>2021</v>
      </c>
      <c r="E37" s="7" t="n">
        <v>2025</v>
      </c>
      <c r="F37" s="8" t="n"/>
      <c r="G37" s="8" t="n"/>
      <c r="H37" s="8" t="n"/>
      <c r="I37" s="8" t="n"/>
      <c r="J37" s="8" t="n"/>
      <c r="K37" s="8" t="n"/>
      <c r="L37" s="8" t="n"/>
      <c r="M37" s="8" t="n"/>
      <c r="N37" s="8" t="n"/>
      <c r="O37" s="8" t="n"/>
      <c r="P37" s="8" t="n"/>
      <c r="Q37" s="8" t="n"/>
      <c r="R37" s="8" t="n"/>
      <c r="S37" s="8" t="n"/>
      <c r="T37" s="8" t="n"/>
      <c r="U37" s="8" t="n"/>
      <c r="V37" s="8" t="n"/>
    </row>
    <row r="38">
      <c r="A38" s="7" t="inlineStr">
        <is>
          <t>VA4</t>
        </is>
      </c>
      <c r="B38" s="7" t="inlineStr">
        <is>
          <t>Vengalacheddikulam</t>
        </is>
      </c>
      <c r="C38" s="7" t="inlineStr">
        <is>
          <t>Vavuniya</t>
        </is>
      </c>
      <c r="D38" s="7" t="n">
        <v>2021</v>
      </c>
      <c r="E38" s="7" t="n">
        <v>2025</v>
      </c>
      <c r="F38" s="8" t="n"/>
      <c r="G38" s="8" t="n"/>
      <c r="H38" s="8" t="n"/>
      <c r="I38" s="8" t="n"/>
      <c r="J38" s="8" t="n"/>
      <c r="K38" s="8" t="n"/>
      <c r="L38" s="8" t="n"/>
      <c r="M38" s="8" t="n"/>
      <c r="N38" s="8" t="n"/>
      <c r="O38" s="8" t="n"/>
      <c r="P38" s="8" t="n"/>
      <c r="Q38" s="8" t="n"/>
      <c r="R38" s="8" t="n"/>
      <c r="S38" s="8" t="n"/>
      <c r="T38" s="8" t="n"/>
      <c r="U38" s="8" t="n"/>
      <c r="V38" s="8" t="n"/>
    </row>
  </sheetData>
  <mergeCells count="1">
    <mergeCell ref="A1:V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2026-2030 - Industry Sector - Flood - Northern Province   [profile INDUSTRY_FLOOD_NOR_V1]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ESTABLISHMENTS_MANUFACTURING_INDUSTRIES</t>
        </is>
      </c>
      <c r="N2" s="4" t="inlineStr">
        <is>
          <t>FLOOD_AFFECTED_ROAD_LENGTH</t>
        </is>
      </c>
      <c r="O2" s="4" t="inlineStr">
        <is>
          <t>INDUSTRIAL_ESTABLISHMENTS_SMALL_INFORMAL_INDUSTRIES</t>
        </is>
      </c>
      <c r="P2" s="4" t="inlineStr">
        <is>
          <t>MAXIMUM_FLOOD_AFFECTED_PEOPLE_DURING_1974_TO_2023</t>
        </is>
      </c>
      <c r="Q2" s="4" t="inlineStr">
        <is>
          <t>MINING_QUARRYING_INDUSTRIES</t>
        </is>
      </c>
      <c r="R2" s="4" t="inlineStr">
        <is>
          <t>PERSONS_ENGAGED_FISH_PROCESSING_INDUSTRIES</t>
        </is>
      </c>
      <c r="S2" s="4" t="inlineStr">
        <is>
          <t>PERSONS_ENGAGED_MANUFACTURE_DAIRY_PRODUCT_INDUSTRIES</t>
        </is>
      </c>
      <c r="T2" s="4" t="inlineStr">
        <is>
          <t>PERSONS_ENGAGED_SMALL_INFORMAL_INDUSTRIES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Total establishments in  manufacturing Industries
&gt;&gt; enter a TYPICAL YEAR (not a total)</t>
        </is>
      </c>
      <c r="N3" s="5" t="inlineStr">
        <is>
          <t>exposure: Flood affected  road length
&gt;&gt; enter a TYPICAL YEAR (not a total)</t>
        </is>
      </c>
      <c r="O3" s="5" t="inlineStr">
        <is>
          <t>exposure: Total No. of Industrial establishments (small and informal industries)
&gt;&gt; enter a TYPICAL YEAR (not a total)</t>
        </is>
      </c>
      <c r="P3" s="5" t="inlineStr">
        <is>
          <t>exposure: Max # of flood affected People during 1974 to 2023 (1974 -2004, 25%, 2005 -2023, 75%)
&gt;&gt; enter the MAXIMUM (already a fixed-window figure)</t>
        </is>
      </c>
      <c r="Q3" s="5" t="inlineStr">
        <is>
          <t>exposure: Total No. of Mining &amp; Quarrying industries
&gt;&gt; enter a TYPICAL YEAR (not a total)</t>
        </is>
      </c>
      <c r="R3" s="5" t="inlineStr">
        <is>
          <t>exposure: Persons engaged in processing and preserving of fish, crustaceans and mollusks industries
&gt;&gt; enter a TYPICAL YEAR (not a total)</t>
        </is>
      </c>
      <c r="S3" s="5" t="inlineStr">
        <is>
          <t>exposure: Persons engaged in manufacture of dairy product industries
&gt;&gt; enter a TYPICAL YEAR (not a total)</t>
        </is>
      </c>
      <c r="T3" s="5" t="inlineStr">
        <is>
          <t>exposure: Total Persons engaged (small and informal industries)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2026-2030</t>
        </is>
      </c>
      <c r="V4" s="6" t="inlineStr">
        <is>
          <t>example row</t>
        </is>
      </c>
    </row>
    <row r="5">
      <c r="A5" s="7" t="inlineStr">
        <is>
          <t>JA1</t>
        </is>
      </c>
      <c r="B5" s="7" t="inlineStr">
        <is>
          <t>Delft</t>
        </is>
      </c>
      <c r="C5" s="7" t="inlineStr">
        <is>
          <t>Jaffna</t>
        </is>
      </c>
      <c r="D5" s="7" t="n">
        <v>2026</v>
      </c>
      <c r="E5" s="7" t="n">
        <v>2030</v>
      </c>
      <c r="F5" s="8" t="n"/>
      <c r="G5" s="8" t="n"/>
      <c r="H5" s="8" t="n"/>
      <c r="I5" s="8" t="n"/>
      <c r="J5" s="8" t="n"/>
      <c r="K5" s="8" t="n"/>
      <c r="L5" s="8" t="n"/>
      <c r="M5" s="8" t="n"/>
      <c r="N5" s="8" t="n"/>
      <c r="O5" s="8" t="n"/>
      <c r="P5" s="8" t="n"/>
      <c r="Q5" s="8" t="n"/>
      <c r="R5" s="8" t="n"/>
      <c r="S5" s="8" t="n"/>
      <c r="T5" s="8" t="n"/>
      <c r="U5" s="8" t="n"/>
      <c r="V5" s="8" t="n"/>
    </row>
    <row r="6">
      <c r="A6" s="7" t="inlineStr">
        <is>
          <t>JA2</t>
        </is>
      </c>
      <c r="B6" s="7" t="inlineStr">
        <is>
          <t>Islands North(kayts)</t>
        </is>
      </c>
      <c r="C6" s="7" t="inlineStr">
        <is>
          <t>Jaffna</t>
        </is>
      </c>
      <c r="D6" s="7" t="n">
        <v>2026</v>
      </c>
      <c r="E6" s="7" t="n">
        <v>2030</v>
      </c>
      <c r="F6" s="8" t="n"/>
      <c r="G6" s="8" t="n"/>
      <c r="H6" s="8" t="n"/>
      <c r="I6" s="8" t="n"/>
      <c r="J6" s="8" t="n"/>
      <c r="K6" s="8" t="n"/>
      <c r="L6" s="8" t="n"/>
      <c r="M6" s="8" t="n"/>
      <c r="N6" s="8" t="n"/>
      <c r="O6" s="8" t="n"/>
      <c r="P6" s="8" t="n"/>
      <c r="Q6" s="8" t="n"/>
      <c r="R6" s="8" t="n"/>
      <c r="S6" s="8" t="n"/>
      <c r="T6" s="8" t="n"/>
      <c r="U6" s="8" t="n"/>
      <c r="V6" s="8" t="n"/>
    </row>
    <row r="7">
      <c r="A7" s="7" t="inlineStr">
        <is>
          <t>JA3</t>
        </is>
      </c>
      <c r="B7" s="7" t="inlineStr">
        <is>
          <t>Islands South(velanai)</t>
        </is>
      </c>
      <c r="C7" s="7" t="inlineStr">
        <is>
          <t>Jaffna</t>
        </is>
      </c>
      <c r="D7" s="7" t="n">
        <v>2026</v>
      </c>
      <c r="E7" s="7" t="n">
        <v>2030</v>
      </c>
      <c r="F7" s="8" t="n"/>
      <c r="G7" s="8" t="n"/>
      <c r="H7" s="8" t="n"/>
      <c r="I7" s="8" t="n"/>
      <c r="J7" s="8" t="n"/>
      <c r="K7" s="8" t="n"/>
      <c r="L7" s="8" t="n"/>
      <c r="M7" s="8" t="n"/>
      <c r="N7" s="8" t="n"/>
      <c r="O7" s="8" t="n"/>
      <c r="P7" s="8" t="n"/>
      <c r="Q7" s="8" t="n"/>
      <c r="R7" s="8" t="n"/>
      <c r="S7" s="8" t="n"/>
      <c r="T7" s="8" t="n"/>
      <c r="U7" s="8" t="n"/>
      <c r="V7" s="8" t="n"/>
    </row>
    <row r="8">
      <c r="A8" s="7" t="inlineStr">
        <is>
          <t>JA4</t>
        </is>
      </c>
      <c r="B8" s="7" t="inlineStr">
        <is>
          <t>Jaffna</t>
        </is>
      </c>
      <c r="C8" s="7" t="inlineStr">
        <is>
          <t>Jaffna</t>
        </is>
      </c>
      <c r="D8" s="7" t="n">
        <v>2026</v>
      </c>
      <c r="E8" s="7" t="n">
        <v>2030</v>
      </c>
      <c r="F8" s="8" t="n"/>
      <c r="G8" s="8" t="n"/>
      <c r="H8" s="8" t="n"/>
      <c r="I8" s="8" t="n"/>
      <c r="J8" s="8" t="n"/>
      <c r="K8" s="8" t="n"/>
      <c r="L8" s="8" t="n"/>
      <c r="M8" s="8" t="n"/>
      <c r="N8" s="8" t="n"/>
      <c r="O8" s="8" t="n"/>
      <c r="P8" s="8" t="n"/>
      <c r="Q8" s="8" t="n"/>
      <c r="R8" s="8" t="n"/>
      <c r="S8" s="8" t="n"/>
      <c r="T8" s="8" t="n"/>
      <c r="U8" s="8" t="n"/>
      <c r="V8" s="8" t="n"/>
    </row>
    <row r="9">
      <c r="A9" s="7" t="inlineStr">
        <is>
          <t>JA5</t>
        </is>
      </c>
      <c r="B9" s="7" t="inlineStr">
        <is>
          <t>Karainagar</t>
        </is>
      </c>
      <c r="C9" s="7" t="inlineStr">
        <is>
          <t>Jaffna</t>
        </is>
      </c>
      <c r="D9" s="7" t="n">
        <v>2026</v>
      </c>
      <c r="E9" s="7" t="n">
        <v>2030</v>
      </c>
      <c r="F9" s="8" t="n"/>
      <c r="G9" s="8" t="n"/>
      <c r="H9" s="8" t="n"/>
      <c r="I9" s="8" t="n"/>
      <c r="J9" s="8" t="n"/>
      <c r="K9" s="8" t="n"/>
      <c r="L9" s="8" t="n"/>
      <c r="M9" s="8" t="n"/>
      <c r="N9" s="8" t="n"/>
      <c r="O9" s="8" t="n"/>
      <c r="P9" s="8" t="n"/>
      <c r="Q9" s="8" t="n"/>
      <c r="R9" s="8" t="n"/>
      <c r="S9" s="8" t="n"/>
      <c r="T9" s="8" t="n"/>
      <c r="U9" s="8" t="n"/>
      <c r="V9" s="8" t="n"/>
    </row>
    <row r="10">
      <c r="A10" s="7" t="inlineStr">
        <is>
          <t>JA6</t>
        </is>
      </c>
      <c r="B10" s="7" t="inlineStr">
        <is>
          <t>Nallur</t>
        </is>
      </c>
      <c r="C10" s="7" t="inlineStr">
        <is>
          <t>Jaffna</t>
        </is>
      </c>
      <c r="D10" s="7" t="n">
        <v>2026</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JA7</t>
        </is>
      </c>
      <c r="B11" s="7" t="inlineStr">
        <is>
          <t>Thenmaradchi(chavakachcheri)</t>
        </is>
      </c>
      <c r="C11" s="7" t="inlineStr">
        <is>
          <t>Jaffna</t>
        </is>
      </c>
      <c r="D11" s="7" t="n">
        <v>2026</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JA8</t>
        </is>
      </c>
      <c r="B12" s="7" t="inlineStr">
        <is>
          <t>Vadamaradchchi East</t>
        </is>
      </c>
      <c r="C12" s="7" t="inlineStr">
        <is>
          <t>Jaffna</t>
        </is>
      </c>
      <c r="D12" s="7" t="n">
        <v>2026</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JA9</t>
        </is>
      </c>
      <c r="B13" s="7" t="inlineStr">
        <is>
          <t>Vadamaradchchi South-west(karaveddy)</t>
        </is>
      </c>
      <c r="C13" s="7" t="inlineStr">
        <is>
          <t>Jaffna</t>
        </is>
      </c>
      <c r="D13" s="7" t="n">
        <v>2026</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JA10</t>
        </is>
      </c>
      <c r="B14" s="7" t="inlineStr">
        <is>
          <t>Vadamaradchi North(point Pedro)</t>
        </is>
      </c>
      <c r="C14" s="7" t="inlineStr">
        <is>
          <t>Jaffna</t>
        </is>
      </c>
      <c r="D14" s="7" t="n">
        <v>2026</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JA11</t>
        </is>
      </c>
      <c r="B15" s="7" t="inlineStr">
        <is>
          <t>Valikamam East(kopay)</t>
        </is>
      </c>
      <c r="C15" s="7" t="inlineStr">
        <is>
          <t>Jaffna</t>
        </is>
      </c>
      <c r="D15" s="7" t="n">
        <v>2026</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JA12</t>
        </is>
      </c>
      <c r="B16" s="7" t="inlineStr">
        <is>
          <t>Valikamam North(thllippalai)</t>
        </is>
      </c>
      <c r="C16" s="7" t="inlineStr">
        <is>
          <t>Jaffna</t>
        </is>
      </c>
      <c r="D16" s="7" t="n">
        <v>2026</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JA13</t>
        </is>
      </c>
      <c r="B17" s="7" t="inlineStr">
        <is>
          <t>Valikamam South West(sandilipay)</t>
        </is>
      </c>
      <c r="C17" s="7" t="inlineStr">
        <is>
          <t>Jaffna</t>
        </is>
      </c>
      <c r="D17" s="7" t="n">
        <v>2026</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JA14</t>
        </is>
      </c>
      <c r="B18" s="7" t="inlineStr">
        <is>
          <t>Valikamam South(uduvil)</t>
        </is>
      </c>
      <c r="C18" s="7" t="inlineStr">
        <is>
          <t>Jaffna</t>
        </is>
      </c>
      <c r="D18" s="7" t="n">
        <v>2026</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JA15</t>
        </is>
      </c>
      <c r="B19" s="7" t="inlineStr">
        <is>
          <t>Valikamam West(chankanai)</t>
        </is>
      </c>
      <c r="C19" s="7" t="inlineStr">
        <is>
          <t>Jaffna</t>
        </is>
      </c>
      <c r="D19" s="7" t="n">
        <v>2026</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KI1</t>
        </is>
      </c>
      <c r="B20" s="7" t="inlineStr">
        <is>
          <t>Kandavalai</t>
        </is>
      </c>
      <c r="C20" s="7" t="inlineStr">
        <is>
          <t>Kilinochchi</t>
        </is>
      </c>
      <c r="D20" s="7" t="n">
        <v>2026</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KI2</t>
        </is>
      </c>
      <c r="B21" s="7" t="inlineStr">
        <is>
          <t>Karachchi</t>
        </is>
      </c>
      <c r="C21" s="7" t="inlineStr">
        <is>
          <t>Kilinochchi</t>
        </is>
      </c>
      <c r="D21" s="7" t="n">
        <v>2026</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KI3</t>
        </is>
      </c>
      <c r="B22" s="7" t="inlineStr">
        <is>
          <t>Pachchilaipalli</t>
        </is>
      </c>
      <c r="C22" s="7" t="inlineStr">
        <is>
          <t>Kilinochchi</t>
        </is>
      </c>
      <c r="D22" s="7" t="n">
        <v>2026</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KI4</t>
        </is>
      </c>
      <c r="B23" s="7" t="inlineStr">
        <is>
          <t>Poonakary</t>
        </is>
      </c>
      <c r="C23" s="7" t="inlineStr">
        <is>
          <t>Kilinochchi</t>
        </is>
      </c>
      <c r="D23" s="7" t="n">
        <v>2026</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MN1</t>
        </is>
      </c>
      <c r="B24" s="7" t="inlineStr">
        <is>
          <t>Madhu</t>
        </is>
      </c>
      <c r="C24" s="7" t="inlineStr">
        <is>
          <t>Mannar</t>
        </is>
      </c>
      <c r="D24" s="7" t="n">
        <v>2026</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MN2</t>
        </is>
      </c>
      <c r="B25" s="7" t="inlineStr">
        <is>
          <t>Mannar Town</t>
        </is>
      </c>
      <c r="C25" s="7" t="inlineStr">
        <is>
          <t>Mannar</t>
        </is>
      </c>
      <c r="D25" s="7" t="n">
        <v>2026</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MN3</t>
        </is>
      </c>
      <c r="B26" s="7" t="inlineStr">
        <is>
          <t>Manthai West</t>
        </is>
      </c>
      <c r="C26" s="7" t="inlineStr">
        <is>
          <t>Mannar</t>
        </is>
      </c>
      <c r="D26" s="7" t="n">
        <v>2026</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MN4</t>
        </is>
      </c>
      <c r="B27" s="7" t="inlineStr">
        <is>
          <t>Musali</t>
        </is>
      </c>
      <c r="C27" s="7" t="inlineStr">
        <is>
          <t>Mannar</t>
        </is>
      </c>
      <c r="D27" s="7" t="n">
        <v>2026</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MN5</t>
        </is>
      </c>
      <c r="B28" s="7" t="inlineStr">
        <is>
          <t>Nanaddan</t>
        </is>
      </c>
      <c r="C28" s="7" t="inlineStr">
        <is>
          <t>Mannar</t>
        </is>
      </c>
      <c r="D28" s="7" t="n">
        <v>2026</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MU1</t>
        </is>
      </c>
      <c r="B29" s="7" t="inlineStr">
        <is>
          <t>Manthai East</t>
        </is>
      </c>
      <c r="C29" s="7" t="inlineStr">
        <is>
          <t>Mullaitivu</t>
        </is>
      </c>
      <c r="D29" s="7" t="n">
        <v>2026</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MU2</t>
        </is>
      </c>
      <c r="B30" s="7" t="inlineStr">
        <is>
          <t>Maritimepattu</t>
        </is>
      </c>
      <c r="C30" s="7" t="inlineStr">
        <is>
          <t>Mullaitivu</t>
        </is>
      </c>
      <c r="D30" s="7" t="n">
        <v>2026</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MU3</t>
        </is>
      </c>
      <c r="B31" s="7" t="inlineStr">
        <is>
          <t>Oddusuddan</t>
        </is>
      </c>
      <c r="C31" s="7" t="inlineStr">
        <is>
          <t>Mullaitivu</t>
        </is>
      </c>
      <c r="D31" s="7" t="n">
        <v>2026</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MU4</t>
        </is>
      </c>
      <c r="B32" s="7" t="inlineStr">
        <is>
          <t>Puthukkudiyiruppu</t>
        </is>
      </c>
      <c r="C32" s="7" t="inlineStr">
        <is>
          <t>Mullaitivu</t>
        </is>
      </c>
      <c r="D32" s="7" t="n">
        <v>2026</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MU5</t>
        </is>
      </c>
      <c r="B33" s="7" t="inlineStr">
        <is>
          <t>Thunukkai</t>
        </is>
      </c>
      <c r="C33" s="7" t="inlineStr">
        <is>
          <t>Mullaitivu</t>
        </is>
      </c>
      <c r="D33" s="7" t="n">
        <v>2026</v>
      </c>
      <c r="E33" s="7" t="n">
        <v>2030</v>
      </c>
      <c r="F33" s="8" t="n"/>
      <c r="G33" s="8" t="n"/>
      <c r="H33" s="8" t="n"/>
      <c r="I33" s="8" t="n"/>
      <c r="J33" s="8" t="n"/>
      <c r="K33" s="8" t="n"/>
      <c r="L33" s="8" t="n"/>
      <c r="M33" s="8" t="n"/>
      <c r="N33" s="8" t="n"/>
      <c r="O33" s="8" t="n"/>
      <c r="P33" s="8" t="n"/>
      <c r="Q33" s="8" t="n"/>
      <c r="R33" s="8" t="n"/>
      <c r="S33" s="8" t="n"/>
      <c r="T33" s="8" t="n"/>
      <c r="U33" s="8" t="n"/>
      <c r="V33" s="8" t="n"/>
    </row>
    <row r="34">
      <c r="A34" s="7" t="inlineStr">
        <is>
          <t>MU6</t>
        </is>
      </c>
      <c r="B34" s="7" t="inlineStr">
        <is>
          <t>Welioya</t>
        </is>
      </c>
      <c r="C34" s="7" t="inlineStr">
        <is>
          <t>Mullaitivu</t>
        </is>
      </c>
      <c r="D34" s="7" t="n">
        <v>2026</v>
      </c>
      <c r="E34" s="7" t="n">
        <v>2030</v>
      </c>
      <c r="F34" s="8" t="n"/>
      <c r="G34" s="8" t="n"/>
      <c r="H34" s="8" t="n"/>
      <c r="I34" s="8" t="n"/>
      <c r="J34" s="8" t="n"/>
      <c r="K34" s="8" t="n"/>
      <c r="L34" s="8" t="n"/>
      <c r="M34" s="8" t="n"/>
      <c r="N34" s="8" t="n"/>
      <c r="O34" s="8" t="n"/>
      <c r="P34" s="8" t="n"/>
      <c r="Q34" s="8" t="n"/>
      <c r="R34" s="8" t="n"/>
      <c r="S34" s="8" t="n"/>
      <c r="T34" s="8" t="n"/>
      <c r="U34" s="8" t="n"/>
      <c r="V34" s="8" t="n"/>
    </row>
    <row r="35">
      <c r="A35" s="7" t="inlineStr">
        <is>
          <t>VA1</t>
        </is>
      </c>
      <c r="B35" s="7" t="inlineStr">
        <is>
          <t>Vavuniya</t>
        </is>
      </c>
      <c r="C35" s="7" t="inlineStr">
        <is>
          <t>Vavuniya</t>
        </is>
      </c>
      <c r="D35" s="7" t="n">
        <v>2026</v>
      </c>
      <c r="E35" s="7" t="n">
        <v>2030</v>
      </c>
      <c r="F35" s="8" t="n"/>
      <c r="G35" s="8" t="n"/>
      <c r="H35" s="8" t="n"/>
      <c r="I35" s="8" t="n"/>
      <c r="J35" s="8" t="n"/>
      <c r="K35" s="8" t="n"/>
      <c r="L35" s="8" t="n"/>
      <c r="M35" s="8" t="n"/>
      <c r="N35" s="8" t="n"/>
      <c r="O35" s="8" t="n"/>
      <c r="P35" s="8" t="n"/>
      <c r="Q35" s="8" t="n"/>
      <c r="R35" s="8" t="n"/>
      <c r="S35" s="8" t="n"/>
      <c r="T35" s="8" t="n"/>
      <c r="U35" s="8" t="n"/>
      <c r="V35" s="8" t="n"/>
    </row>
    <row r="36">
      <c r="A36" s="7" t="inlineStr">
        <is>
          <t>VA2</t>
        </is>
      </c>
      <c r="B36" s="7" t="inlineStr">
        <is>
          <t>Vavuniya North</t>
        </is>
      </c>
      <c r="C36" s="7" t="inlineStr">
        <is>
          <t>Vavuniya</t>
        </is>
      </c>
      <c r="D36" s="7" t="n">
        <v>2026</v>
      </c>
      <c r="E36" s="7" t="n">
        <v>2030</v>
      </c>
      <c r="F36" s="8" t="n"/>
      <c r="G36" s="8" t="n"/>
      <c r="H36" s="8" t="n"/>
      <c r="I36" s="8" t="n"/>
      <c r="J36" s="8" t="n"/>
      <c r="K36" s="8" t="n"/>
      <c r="L36" s="8" t="n"/>
      <c r="M36" s="8" t="n"/>
      <c r="N36" s="8" t="n"/>
      <c r="O36" s="8" t="n"/>
      <c r="P36" s="8" t="n"/>
      <c r="Q36" s="8" t="n"/>
      <c r="R36" s="8" t="n"/>
      <c r="S36" s="8" t="n"/>
      <c r="T36" s="8" t="n"/>
      <c r="U36" s="8" t="n"/>
      <c r="V36" s="8" t="n"/>
    </row>
    <row r="37">
      <c r="A37" s="7" t="inlineStr">
        <is>
          <t>VA3</t>
        </is>
      </c>
      <c r="B37" s="7" t="inlineStr">
        <is>
          <t>Vavuniya South</t>
        </is>
      </c>
      <c r="C37" s="7" t="inlineStr">
        <is>
          <t>Vavuniya</t>
        </is>
      </c>
      <c r="D37" s="7" t="n">
        <v>2026</v>
      </c>
      <c r="E37" s="7" t="n">
        <v>2030</v>
      </c>
      <c r="F37" s="8" t="n"/>
      <c r="G37" s="8" t="n"/>
      <c r="H37" s="8" t="n"/>
      <c r="I37" s="8" t="n"/>
      <c r="J37" s="8" t="n"/>
      <c r="K37" s="8" t="n"/>
      <c r="L37" s="8" t="n"/>
      <c r="M37" s="8" t="n"/>
      <c r="N37" s="8" t="n"/>
      <c r="O37" s="8" t="n"/>
      <c r="P37" s="8" t="n"/>
      <c r="Q37" s="8" t="n"/>
      <c r="R37" s="8" t="n"/>
      <c r="S37" s="8" t="n"/>
      <c r="T37" s="8" t="n"/>
      <c r="U37" s="8" t="n"/>
      <c r="V37" s="8" t="n"/>
    </row>
    <row r="38">
      <c r="A38" s="7" t="inlineStr">
        <is>
          <t>VA4</t>
        </is>
      </c>
      <c r="B38" s="7" t="inlineStr">
        <is>
          <t>Vengalacheddikulam</t>
        </is>
      </c>
      <c r="C38" s="7" t="inlineStr">
        <is>
          <t>Vavuniya</t>
        </is>
      </c>
      <c r="D38" s="7" t="n">
        <v>2026</v>
      </c>
      <c r="E38" s="7" t="n">
        <v>2030</v>
      </c>
      <c r="F38" s="8" t="n"/>
      <c r="G38" s="8" t="n"/>
      <c r="H38" s="8" t="n"/>
      <c r="I38" s="8" t="n"/>
      <c r="J38" s="8" t="n"/>
      <c r="K38" s="8" t="n"/>
      <c r="L38" s="8" t="n"/>
      <c r="M38" s="8" t="n"/>
      <c r="N38" s="8" t="n"/>
      <c r="O38" s="8" t="n"/>
      <c r="P38" s="8" t="n"/>
      <c r="Q38" s="8" t="n"/>
      <c r="R38" s="8" t="n"/>
      <c r="S38" s="8" t="n"/>
      <c r="T38" s="8" t="n"/>
      <c r="U38" s="8" t="n"/>
      <c r="V38" s="8" t="n"/>
    </row>
  </sheetData>
  <mergeCells count="1">
    <mergeCell ref="A1:V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Industry Sector - Flood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3" t="inlineStr">
        <is>
          <t>ACCOMMODATION_FOOD_SERVICE_ACTIVITIES_ESTABLISHMENTS</t>
        </is>
      </c>
      <c r="B9" s="13" t="inlineStr">
        <is>
          <t>Accommodation and food service activities- No. of Establishments</t>
        </is>
      </c>
      <c r="C9" s="13" t="inlineStr">
        <is>
          <t>exposure</t>
        </is>
      </c>
      <c r="D9" s="13" t="inlineStr">
        <is>
          <t>+</t>
        </is>
      </c>
      <c r="E9" s="13" t="n">
        <v>10</v>
      </c>
      <c r="F9" s="12" t="n">
        <v>10</v>
      </c>
      <c r="G9" s="13" t="inlineStr"/>
    </row>
    <row r="10">
      <c r="A10" s="13" t="inlineStr">
        <is>
          <t>ACCOMMODATION_FOOD_SERVICE_ACTIVITIES_PERSONS_ENGAGED</t>
        </is>
      </c>
      <c r="B10" s="13" t="inlineStr">
        <is>
          <t>Accommodation and food service activities- No. of Persons Engaged</t>
        </is>
      </c>
      <c r="C10" s="13" t="inlineStr">
        <is>
          <t>exposure</t>
        </is>
      </c>
      <c r="D10" s="13" t="inlineStr">
        <is>
          <t>+</t>
        </is>
      </c>
      <c r="E10" s="13" t="n">
        <v>10</v>
      </c>
      <c r="F10" s="12" t="n">
        <v>10</v>
      </c>
      <c r="G10" s="13" t="inlineStr"/>
    </row>
    <row r="11">
      <c r="A11" s="13" t="inlineStr">
        <is>
          <t>ESTABLISHMENTS_MANUFACTURING_INDUSTRIES</t>
        </is>
      </c>
      <c r="B11" s="13" t="inlineStr">
        <is>
          <t>Total establishments in  manufacturing Industries</t>
        </is>
      </c>
      <c r="C11" s="13" t="inlineStr">
        <is>
          <t>exposure</t>
        </is>
      </c>
      <c r="D11" s="13" t="inlineStr">
        <is>
          <t>+</t>
        </is>
      </c>
      <c r="E11" s="13" t="n">
        <v>10</v>
      </c>
      <c r="F11" s="12" t="n">
        <v>10</v>
      </c>
      <c r="G11" s="13" t="inlineStr"/>
    </row>
    <row r="12">
      <c r="A12" s="11" t="inlineStr">
        <is>
          <t>FLOOD_AFFECTED_ROAD_LENGTH</t>
        </is>
      </c>
      <c r="B12" s="11" t="inlineStr">
        <is>
          <t>Flood affected  road length</t>
        </is>
      </c>
      <c r="C12" s="11" t="inlineStr">
        <is>
          <t>exposure</t>
        </is>
      </c>
      <c r="D12" s="11" t="n"/>
      <c r="E12" s="11" t="n"/>
      <c r="F12" s="12" t="n"/>
      <c r="G12" s="11" t="inlineStr"/>
    </row>
    <row r="13">
      <c r="A13" s="13" t="inlineStr">
        <is>
          <t>INDUSTRIAL_ESTABLISHMENTS_SMALL_INFORMAL_INDUSTRIES</t>
        </is>
      </c>
      <c r="B13" s="13" t="inlineStr">
        <is>
          <t>Total No. of Industrial establishments (small and informal industries)</t>
        </is>
      </c>
      <c r="C13" s="13" t="inlineStr">
        <is>
          <t>exposure</t>
        </is>
      </c>
      <c r="D13" s="13" t="inlineStr">
        <is>
          <t>+</t>
        </is>
      </c>
      <c r="E13" s="13" t="n">
        <v>10</v>
      </c>
      <c r="F13" s="12" t="n">
        <v>10</v>
      </c>
      <c r="G13" s="13" t="inlineStr"/>
    </row>
    <row r="14">
      <c r="A14" s="13" t="inlineStr">
        <is>
          <t>MAXIMUM_FLOOD_AFFECTED_PEOPLE_DURING_1974_TO_2023</t>
        </is>
      </c>
      <c r="B14" s="13" t="inlineStr">
        <is>
          <t>Max # of flood affected People during 1974 to 2023 (1974 -2004, 25%, 2005 -2023, 75%)</t>
        </is>
      </c>
      <c r="C14" s="13" t="inlineStr">
        <is>
          <t>exposure</t>
        </is>
      </c>
      <c r="D14" s="13" t="inlineStr">
        <is>
          <t>+</t>
        </is>
      </c>
      <c r="E14" s="13" t="n">
        <v>10</v>
      </c>
      <c r="F14" s="12" t="n">
        <v>10</v>
      </c>
      <c r="G14" s="13" t="inlineStr"/>
    </row>
    <row r="15">
      <c r="A15" s="13" t="inlineStr">
        <is>
          <t>MINING_QUARRYING_INDUSTRIES</t>
        </is>
      </c>
      <c r="B15" s="13" t="inlineStr">
        <is>
          <t>Total No. of Mining &amp; Quarrying industries</t>
        </is>
      </c>
      <c r="C15" s="13" t="inlineStr">
        <is>
          <t>exposure</t>
        </is>
      </c>
      <c r="D15" s="13" t="inlineStr">
        <is>
          <t>+</t>
        </is>
      </c>
      <c r="E15" s="13" t="n">
        <v>10</v>
      </c>
      <c r="F15" s="12" t="n">
        <v>10</v>
      </c>
      <c r="G15" s="13" t="inlineStr"/>
    </row>
    <row r="16">
      <c r="A16" s="13" t="inlineStr">
        <is>
          <t>PERSONS_ENGAGED_FISH_PROCESSING_INDUSTRIES</t>
        </is>
      </c>
      <c r="B16" s="13" t="inlineStr">
        <is>
          <t>Persons engaged in processing and preserving of fish, crustaceans and mollusks industries</t>
        </is>
      </c>
      <c r="C16" s="13" t="inlineStr">
        <is>
          <t>exposure</t>
        </is>
      </c>
      <c r="D16" s="13" t="inlineStr">
        <is>
          <t>+</t>
        </is>
      </c>
      <c r="E16" s="13" t="n">
        <v>20</v>
      </c>
      <c r="F16" s="12" t="n">
        <v>20</v>
      </c>
      <c r="G16" s="13" t="inlineStr"/>
    </row>
    <row r="17">
      <c r="A17" s="13" t="inlineStr">
        <is>
          <t>PERSONS_ENGAGED_MANUFACTURE_DAIRY_PRODUCT_INDUSTRIES</t>
        </is>
      </c>
      <c r="B17" s="13" t="inlineStr">
        <is>
          <t>Persons engaged in manufacture of dairy product industries</t>
        </is>
      </c>
      <c r="C17" s="13" t="inlineStr">
        <is>
          <t>exposure</t>
        </is>
      </c>
      <c r="D17" s="13" t="inlineStr">
        <is>
          <t>+</t>
        </is>
      </c>
      <c r="E17" s="13" t="n">
        <v>10</v>
      </c>
      <c r="F17" s="12" t="n">
        <v>10</v>
      </c>
      <c r="G17" s="13" t="inlineStr"/>
    </row>
    <row r="18">
      <c r="A18" s="13" t="inlineStr">
        <is>
          <t>PERSONS_ENGAGED_SMALL_INFORMAL_INDUSTRIES</t>
        </is>
      </c>
      <c r="B18" s="13" t="inlineStr">
        <is>
          <t>Total Persons engaged (small and informal industries)</t>
        </is>
      </c>
      <c r="C18" s="13" t="inlineStr">
        <is>
          <t>exposure</t>
        </is>
      </c>
      <c r="D18" s="13" t="inlineStr">
        <is>
          <t>+</t>
        </is>
      </c>
      <c r="E18" s="13" t="n">
        <v>10</v>
      </c>
      <c r="F18" s="12" t="n">
        <v>10</v>
      </c>
      <c r="G18" s="13" t="inlineStr"/>
    </row>
    <row r="20">
      <c r="A20" s="14" t="inlineStr">
        <is>
          <t>SUM - hazard (must equal 100)</t>
        </is>
      </c>
      <c r="F20" s="15">
        <f>F4+F5+F6+F7+F8</f>
        <v/>
      </c>
    </row>
    <row r="21">
      <c r="A21" s="14" t="inlineStr">
        <is>
          <t>SUM - exposure (must equal 100)</t>
        </is>
      </c>
      <c r="F21" s="15">
        <f>F9+F10+F11+F12+F13+F14+F15+F16+F17+F18</f>
        <v/>
      </c>
    </row>
  </sheetData>
  <mergeCells count="1">
    <mergeCell ref="A2:G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INDUSTRY_FLOOD_NOR_V1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ACCOMMODATION_FOOD_SERVICE_ACTIVITIES_ESTABLISHMENTS</t>
        </is>
      </c>
      <c r="B23" s="13" t="inlineStr">
        <is>
          <t>Accommodation and food service activities- No. of Establishments</t>
        </is>
      </c>
      <c r="C23" s="13" t="inlineStr">
        <is>
          <t>exposure</t>
        </is>
      </c>
      <c r="D23" s="13" t="inlineStr">
        <is>
          <t>+</t>
        </is>
      </c>
      <c r="E23" s="13" t="n">
        <v>10</v>
      </c>
      <c r="F23" s="13" t="inlineStr">
        <is>
          <t>enter a TYPICAL YEAR (not a total)</t>
        </is>
      </c>
    </row>
    <row r="24">
      <c r="A24" s="13" t="inlineStr">
        <is>
          <t>ACCOMMODATION_FOOD_SERVICE_ACTIVITIES_PERSONS_ENGAGED</t>
        </is>
      </c>
      <c r="B24" s="13" t="inlineStr">
        <is>
          <t>Accommodation and food service activities- No. of Persons Engaged</t>
        </is>
      </c>
      <c r="C24" s="13" t="inlineStr">
        <is>
          <t>exposure</t>
        </is>
      </c>
      <c r="D24" s="13" t="inlineStr">
        <is>
          <t>+</t>
        </is>
      </c>
      <c r="E24" s="13" t="n">
        <v>10</v>
      </c>
      <c r="F24" s="13" t="inlineStr">
        <is>
          <t>enter a TYPICAL YEAR (not a total)</t>
        </is>
      </c>
    </row>
    <row r="25">
      <c r="A25" s="13" t="inlineStr">
        <is>
          <t>ESTABLISHMENTS_MANUFACTURING_INDUSTRIES</t>
        </is>
      </c>
      <c r="B25" s="13" t="inlineStr">
        <is>
          <t>Total establishments in  manufacturing Industries</t>
        </is>
      </c>
      <c r="C25" s="13" t="inlineStr">
        <is>
          <t>exposure</t>
        </is>
      </c>
      <c r="D25" s="13" t="inlineStr">
        <is>
          <t>+</t>
        </is>
      </c>
      <c r="E25" s="13" t="n">
        <v>10</v>
      </c>
      <c r="F25" s="13" t="inlineStr">
        <is>
          <t>enter a TYPICAL YEAR (not a total)</t>
        </is>
      </c>
    </row>
    <row r="26">
      <c r="A26" s="13" t="inlineStr">
        <is>
          <t>FLOOD_AFFECTED_ROAD_LENGTH</t>
        </is>
      </c>
      <c r="B26" s="13" t="inlineStr">
        <is>
          <t>Flood affected  road length</t>
        </is>
      </c>
      <c r="C26" s="13" t="inlineStr">
        <is>
          <t>exposure</t>
        </is>
      </c>
      <c r="D26" s="13" t="n"/>
      <c r="E26" s="13" t="n"/>
      <c r="F26" s="13" t="inlineStr">
        <is>
          <t>enter a TYPICAL YEAR (not a total)</t>
        </is>
      </c>
    </row>
    <row r="27">
      <c r="A27" s="13" t="inlineStr">
        <is>
          <t>INDUSTRIAL_ESTABLISHMENTS_SMALL_INFORMAL_INDUSTRIES</t>
        </is>
      </c>
      <c r="B27" s="13" t="inlineStr">
        <is>
          <t>Total No. of Industrial establishments (small and informal industries)</t>
        </is>
      </c>
      <c r="C27" s="13" t="inlineStr">
        <is>
          <t>exposure</t>
        </is>
      </c>
      <c r="D27" s="13" t="inlineStr">
        <is>
          <t>+</t>
        </is>
      </c>
      <c r="E27" s="13" t="n">
        <v>10</v>
      </c>
      <c r="F27" s="13" t="inlineStr">
        <is>
          <t>enter a TYPICAL YEAR (not a total)</t>
        </is>
      </c>
    </row>
    <row r="28">
      <c r="A28" s="13" t="inlineStr">
        <is>
          <t>MAXIMUM_FLOOD_AFFECTED_PEOPLE_DURING_1974_TO_2023</t>
        </is>
      </c>
      <c r="B28" s="13" t="inlineStr">
        <is>
          <t>Max # of flood affected People during 1974 to 2023 (1974 -2004, 25%, 2005 -2023, 75%)</t>
        </is>
      </c>
      <c r="C28" s="13" t="inlineStr">
        <is>
          <t>exposure</t>
        </is>
      </c>
      <c r="D28" s="13" t="inlineStr">
        <is>
          <t>+</t>
        </is>
      </c>
      <c r="E28" s="13" t="n">
        <v>10</v>
      </c>
      <c r="F28" s="13" t="inlineStr">
        <is>
          <t>enter the MAXIMUM (already a fixed-window figure)</t>
        </is>
      </c>
    </row>
    <row r="29">
      <c r="A29" s="13" t="inlineStr">
        <is>
          <t>MINING_QUARRYING_INDUSTRIES</t>
        </is>
      </c>
      <c r="B29" s="13" t="inlineStr">
        <is>
          <t>Total No. of Mining &amp; Quarrying industries</t>
        </is>
      </c>
      <c r="C29" s="13" t="inlineStr">
        <is>
          <t>exposure</t>
        </is>
      </c>
      <c r="D29" s="13" t="inlineStr">
        <is>
          <t>+</t>
        </is>
      </c>
      <c r="E29" s="13" t="n">
        <v>10</v>
      </c>
      <c r="F29" s="13" t="inlineStr">
        <is>
          <t>enter a TYPICAL YEAR (not a total)</t>
        </is>
      </c>
    </row>
    <row r="30">
      <c r="A30" s="13" t="inlineStr">
        <is>
          <t>PERSONS_ENGAGED_FISH_PROCESSING_INDUSTRIES</t>
        </is>
      </c>
      <c r="B30" s="13" t="inlineStr">
        <is>
          <t>Persons engaged in processing and preserving of fish, crustaceans and mollusks industries</t>
        </is>
      </c>
      <c r="C30" s="13" t="inlineStr">
        <is>
          <t>exposure</t>
        </is>
      </c>
      <c r="D30" s="13" t="inlineStr">
        <is>
          <t>+</t>
        </is>
      </c>
      <c r="E30" s="13" t="n">
        <v>20</v>
      </c>
      <c r="F30" s="13" t="inlineStr">
        <is>
          <t>enter a TYPICAL YEAR (not a total)</t>
        </is>
      </c>
    </row>
    <row r="31">
      <c r="A31" s="13" t="inlineStr">
        <is>
          <t>PERSONS_ENGAGED_MANUFACTURE_DAIRY_PRODUCT_INDUSTRIES</t>
        </is>
      </c>
      <c r="B31" s="13" t="inlineStr">
        <is>
          <t>Persons engaged in manufacture of dairy product industries</t>
        </is>
      </c>
      <c r="C31" s="13" t="inlineStr">
        <is>
          <t>exposure</t>
        </is>
      </c>
      <c r="D31" s="13" t="inlineStr">
        <is>
          <t>+</t>
        </is>
      </c>
      <c r="E31" s="13" t="n">
        <v>10</v>
      </c>
      <c r="F31" s="13" t="inlineStr">
        <is>
          <t>enter a TYPICAL YEAR (not a total)</t>
        </is>
      </c>
    </row>
    <row r="32">
      <c r="A32" s="13" t="inlineStr">
        <is>
          <t>PERSONS_ENGAGED_SMALL_INFORMAL_INDUSTRIES</t>
        </is>
      </c>
      <c r="B32" s="13" t="inlineStr">
        <is>
          <t>Total Persons engaged (small and informal industries)</t>
        </is>
      </c>
      <c r="C32" s="13" t="inlineStr">
        <is>
          <t>exposure</t>
        </is>
      </c>
      <c r="D32" s="13" t="inlineStr">
        <is>
          <t>+</t>
        </is>
      </c>
      <c r="E32" s="13" t="n">
        <v>10</v>
      </c>
      <c r="F3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INDUSTRY_FLOOD_NOR_V1</t>
        </is>
      </c>
    </row>
    <row r="2">
      <c r="A2" s="17" t="inlineStr">
        <is>
          <t>version</t>
        </is>
      </c>
      <c r="B2" s="17" t="n">
        <v>1</v>
      </c>
    </row>
    <row r="3">
      <c r="A3" s="17" t="inlineStr">
        <is>
          <t>province</t>
        </is>
      </c>
      <c r="B3" s="17" t="inlineStr">
        <is>
          <t>Northern</t>
        </is>
      </c>
    </row>
    <row r="4">
      <c r="A4" s="17" t="inlineStr">
        <is>
          <t>main_sector</t>
        </is>
      </c>
      <c r="B4" s="17" t="inlineStr">
        <is>
          <t>Industry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15</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CCOMMODATION_FOOD_SERVICE_ACTIVITIES_ESTABLISHMENTS=average|ACCOMMODATION_FOOD_SERVICE_ACTIVITIES_PERSONS_ENGAGED=average|ESTABLISHMENTS_MANUFACTURING_INDUSTRIES=average|FLOOD_AFFECTED_ROAD_LENGTH=average|INDUSTRIAL_ESTABLISHMENTS_SMALL_INFORMAL_INDUSTRIES=average|MAXIMUM_FLOOD_AFFECTED_PEOPLE_DURING_1974_TO_2023=max|MINING_QUARRYING_INDUSTRIES=average|PERSONS_ENGAGED_FISH_PROCESSING_INDUSTRIES=average|PERSONS_ENGAGED_MANUFACTURE_DAIRY_PRODUCT_INDUSTRIES=average|PERSONS_ENGAGED_SMALL_INFORMAL_INDUSTRIES=average</t>
        </is>
      </c>
    </row>
    <row r="16">
      <c r="A16" s="17" t="inlineStr">
        <is>
          <t>expected_columns</t>
        </is>
      </c>
      <c r="B16" s="17" t="inlineStr">
        <is>
          <t>DS_CODE|DS_DIVISION|DISTRICT|YEAR_START|YEAR_END|FLOOD_EVENTS_1974_TO_2023|FLOOD_HAZARD_INDEX|LIGHTNING_INCIDENTS_1974_TO_2023|STRONG_WIND_EVENTS_1978_TO_2023|VERY_WET_DAYS|ACCOMMODATION_FOOD_SERVICE_ACTIVITIES_ESTABLISHMENTS|ACCOMMODATION_FOOD_SERVICE_ACTIVITIES_PERSONS_ENGAGED|ESTABLISHMENTS_MANUFACTURING_INDUSTRIES|FLOOD_AFFECTED_ROAD_LENGTH|INDUSTRIAL_ESTABLISHMENTS_SMALL_INFORMAL_INDUSTRIES|MAXIMUM_FLOOD_AFFECTED_PEOPLE_DURING_1974_TO_2023|MINING_QUARRYING_INDUSTRIES|PERSONS_ENGAGED_FISH_PROCESSING_INDUSTRIES|PERSONS_ENGAGED_MANUFACTURE_DAIRY_PRODUCT_INDUSTRIE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2026-09-03T04:02:52Z</dcterms:created>
  <dcterms:modified xmlns:dcterms="http://purl.org/dc/terms/" xmlns:xsi="http://www.w3.org/2001/XMLSchema-instance" xsi:type="dcterms:W3CDTF">2026-09-03T04:02:52Z</dcterms:modified>
</cp:coreProperties>
</file>