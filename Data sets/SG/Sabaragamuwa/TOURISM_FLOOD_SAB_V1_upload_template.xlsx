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C1388CD5-F5AE-4975-831F-BF4B5399B09F}"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3" l="1"/>
  <c r="F17" i="3"/>
</calcChain>
</file>

<file path=xl/sharedStrings.xml><?xml version="1.0" encoding="utf-8"?>
<sst xmlns="http://schemas.openxmlformats.org/spreadsheetml/2006/main" count="433" uniqueCount="174">
  <si>
    <t>RAW DATA 2020-2025 - Tourism Sector - Flood - Sabaragamuwa Province   [profile TOURISM_FLOOD_SAB_V1]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</si>
  <si>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</si>
  <si>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</si>
  <si>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</si>
  <si>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</si>
  <si>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</si>
  <si>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</si>
  <si>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</si>
  <si>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</si>
  <si>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</si>
  <si>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</si>
  <si>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ACCOMMODATION_FOOD_SERVICE_ACTIVITIES_ESTABLISHMENTS</t>
  </si>
  <si>
    <t>ACCOMMODATION_FOOD_SERVICE_ACTIVITIES_PERSONS_ENGAGED</t>
  </si>
  <si>
    <t>ANNUAL_AVERAGE_VISITORS_MAIN_TOURISM_DESTINATIONS</t>
  </si>
  <si>
    <t>ARTS_ENTERTAINMENT_RECREATION_ESTABLISHMENTS</t>
  </si>
  <si>
    <t>ARTS_ENTERTAINMENT_RECREATION_PERSONS_ENGAGED</t>
  </si>
  <si>
    <t>HOTELS</t>
  </si>
  <si>
    <t>TOURISM_ATTRACTION_PLACES</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</si>
  <si>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</si>
  <si>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</si>
  <si>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</si>
  <si>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</si>
  <si>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</si>
  <si>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</si>
  <si>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</si>
  <si>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</si>
  <si>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Accommodation and food service activities- No. of Establishments
&gt;&gt; enter a TYPICAL YEAR (not a total)</t>
  </si>
  <si>
    <t>exposure: Accommodation and food service activities- No. of Persons Engaged
&gt;&gt; enter a TYPICAL YEAR (not a total)</t>
  </si>
  <si>
    <t>exposure: Annual average visitors of main tourism destination
&gt;&gt; enter a TYPICAL YEAR (not a total)</t>
  </si>
  <si>
    <t>exposure: Arts, entertainment and recreation- No. of Establishments
&gt;&gt; enter a TYPICAL YEAR (not a total)</t>
  </si>
  <si>
    <t>exposure: Arts, entertainment and recreation- No. of Persons Engaged
&gt;&gt; enter a TYPICAL YEAR (not a total)</t>
  </si>
  <si>
    <t>exposure: Total hotels
&gt;&gt; enter a TYPICAL YEAR (not a total)</t>
  </si>
  <si>
    <t>exposure: No. of Tourism Attraction places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</si>
  <si>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</si>
  <si>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</si>
  <si>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</si>
  <si>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</si>
  <si>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</si>
  <si>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</si>
  <si>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</si>
  <si>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</si>
  <si>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</si>
  <si>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</si>
  <si>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</si>
  <si>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</si>
  <si>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</si>
  <si>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</si>
  <si>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</si>
  <si>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</si>
  <si>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</si>
  <si>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</si>
  <si>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</si>
  <si>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</si>
  <si>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</si>
  <si>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</si>
  <si>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</si>
  <si>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</si>
  <si>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</si>
  <si>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</si>
  <si>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</si>
  <si>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</si>
  <si>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</si>
  <si>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</si>
  <si>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</si>
  <si>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</si>
  <si>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</si>
  <si>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</si>
  <si>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</si>
  <si>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</si>
  <si>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</si>
  <si>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</si>
  <si>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</si>
  <si>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</si>
  <si>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</si>
  <si>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</si>
  <si>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</si>
  <si>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</si>
  <si>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</si>
  <si>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</si>
  <si>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</si>
  <si>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</si>
  <si>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</si>
  <si>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</si>
  <si>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</si>
  <si>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</si>
  <si>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</si>
  <si>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</si>
  <si>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</si>
  <si>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</si>
  <si>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</si>
  <si>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</si>
  <si>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</si>
  <si>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</si>
  <si>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</si>
  <si>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</si>
  <si>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</si>
  <si>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</si>
  <si>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</si>
  <si>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Tourism Sector - Flood - Sabaragamuwa Province   [profile TOURISM_FLOOD_SAB_V1]   |   Enter RAW values only - the system normalizes.</t>
  </si>
  <si>
    <t>Dept. report 2025-2030</t>
  </si>
  <si>
    <t>WEIGHTS - Tourism Sector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</si>
  <si>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</si>
  <si>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</si>
  <si>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</si>
  <si>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</si>
  <si>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</si>
  <si>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</si>
  <si>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</si>
  <si>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</si>
  <si>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</si>
  <si>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</si>
  <si>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</si>
  <si>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</si>
  <si>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</si>
  <si>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</si>
  <si>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Accommodation and food service activities- No. of Establishments</t>
  </si>
  <si>
    <t>exposure</t>
  </si>
  <si>
    <t>Accommodation and food service activities- No. of Persons Engaged</t>
  </si>
  <si>
    <t>Annual average visitors of main tourism destination</t>
  </si>
  <si>
    <t>Arts, entertainment and recreation- No. of Establishments</t>
  </si>
  <si>
    <t>Arts, entertainment and recreation- No. of Persons Engaged</t>
  </si>
  <si>
    <t>Total hotels</t>
  </si>
  <si>
    <t>No. of Tourism Attraction places</t>
  </si>
  <si>
    <t>SUM - hazard (must equal 100)</t>
  </si>
  <si>
    <t>SUM - exposure (must equal 100)</t>
  </si>
  <si>
    <t>How to fill this template</t>
  </si>
  <si>
    <t>Profile: TOURISM_FLOOD_SAB_V1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</si>
  <si>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</si>
  <si>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</si>
  <si>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</si>
  <si>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</si>
  <si>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</si>
  <si>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</si>
  <si>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</si>
  <si>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</si>
  <si>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</si>
  <si>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</si>
  <si>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</si>
  <si>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</si>
  <si>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</si>
  <si>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</si>
  <si>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</si>
  <si>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</si>
  <si>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</si>
  <si>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TOURISM_FLOOD_SAB_V1</t>
  </si>
  <si>
    <t>version</t>
  </si>
  <si>
    <t>province</t>
  </si>
  <si>
    <t>Sabaragamuwa</t>
  </si>
  <si>
    <t>main_sector</t>
  </si>
  <si>
    <t>Tourism Sector</t>
  </si>
  <si>
    <t>subsector</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</si>
  <si>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</si>
  <si>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</si>
  <si>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</si>
  <si>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</si>
  <si>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</si>
  <si>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</si>
  <si>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</si>
  <si>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</si>
  <si>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</si>
  <si>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</si>
  <si>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</si>
  <si>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</si>
  <si>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</si>
  <si>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</si>
  <si>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</si>
  <si>
    <t>expected_columns</t>
  </si>
  <si>
    <t>DS_CODE|DS_DIVISION|DISTRICT|YEAR_START|YEAR_END|FLOOD_EVENTS_1974_TO_2023|FLOOD_HAZARD_INDEX|LIGHTNING_INCIDENTS_1974_TO_2023|STRONG_WIND_EVENTS_1978_TO_2023|VERY_WET_DAYS|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</si>
  <si>
    <t>Disaster Management Centre, 2023</t>
  </si>
  <si>
    <t>https://data.gov.lk/dataset/accommodation-information-tourists</t>
  </si>
  <si>
    <t>Department of Census and Statistics, 2014</t>
  </si>
  <si>
    <t>Provincial Ministry of Tourism, Sabaragamuwa, 2025</t>
  </si>
  <si>
    <t>source</t>
  </si>
  <si>
    <t>Developed by Project (Based on Department of Meteorology,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</si>
</sst>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0"/>
      <color theme="1"/>
      <name val="Calibri"/>
      <family val="2"/>
      <scheme val="minor"/>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5">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1" fillId="0" borderId="0" xfId="0" applyFont="1"/>
    <xf numFmtId="0" fontId="0" fillId="0" borderId="0" xfId="0"/>
    <xf numFmtId="0" fontId="3" fillId="0" borderId="0" xfId="0" applyFont="1" applyAlignment="1">
      <alignment vertical="top" wrapText="1"/>
    </xf>
    <xf numFmtId="0" fontId="25" fillId="0" borderId="0" xfId="0" applyFont="1" applyBorder="1" applyAlignment="1">
      <alignment vertical="top" wrapText="1"/>
    </xf>
    <xf numFmtId="0" fontId="26" fillId="0" borderId="0" xfId="0" applyFont="1"/>
    <xf numFmtId="0" fontId="25" fillId="0" borderId="0" xfId="0" applyFont="1" applyBorder="1" applyAlignment="1">
      <alignment vertical="top"/>
    </xf>
    <xf numFmtId="0" fontId="2" fillId="2" borderId="11" xfId="0" applyFont="1" applyFill="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3"/>
  <sheetViews>
    <sheetView tabSelected="1" workbookViewId="0">
      <pane xSplit="5" ySplit="3" topLeftCell="F4" activePane="bottomRight" state="frozen"/>
      <selection pane="topRight"/>
      <selection pane="bottomLeft"/>
      <selection pane="bottomRight" activeCell="F9" sqref="F9"/>
    </sheetView>
  </sheetViews>
  <sheetFormatPr defaultRowHeight="15" x14ac:dyDescent="0.25"/>
  <cols>
    <col min="1" max="1" width="14" customWidth="1"/>
    <col min="2" max="2" width="34" customWidth="1"/>
    <col min="3" max="3" width="16" customWidth="1"/>
    <col min="4" max="5" width="11" customWidth="1"/>
    <col min="6" max="19" width="16" customWidth="1"/>
  </cols>
  <sheetData>
    <row r="1" spans="1:19" ht="16.5" x14ac:dyDescent="0.25">
      <c r="A1" s="18" t="s">
        <v>0</v>
      </c>
      <c r="B1" s="19"/>
      <c r="C1" s="19"/>
      <c r="D1" s="19"/>
      <c r="E1" s="19"/>
      <c r="F1" s="19"/>
      <c r="G1" s="19"/>
      <c r="H1" s="19"/>
      <c r="I1" s="19"/>
      <c r="J1" s="19"/>
      <c r="K1" s="19"/>
      <c r="L1" s="19"/>
      <c r="M1" s="19"/>
      <c r="N1" s="19"/>
      <c r="O1" s="19"/>
      <c r="P1" s="19"/>
      <c r="Q1" s="19"/>
      <c r="R1" s="19"/>
      <c r="S1" s="19"/>
    </row>
    <row r="2" spans="1:19" x14ac:dyDescent="0.25">
      <c r="A2" s="2" t="s">
        <v>1</v>
      </c>
      <c r="B2" s="2" t="s">
        <v>2</v>
      </c>
      <c r="C2" s="2" t="s">
        <v>3</v>
      </c>
      <c r="D2" s="2" t="s">
        <v>4</v>
      </c>
      <c r="E2" s="2" t="s">
        <v>5</v>
      </c>
      <c r="F2" s="3" t="s">
        <v>6</v>
      </c>
      <c r="G2" s="3" t="s">
        <v>7</v>
      </c>
      <c r="H2" s="3" t="s">
        <v>8</v>
      </c>
      <c r="I2" s="3" t="s">
        <v>9</v>
      </c>
      <c r="J2" s="3" t="s">
        <v>10</v>
      </c>
      <c r="K2" s="4" t="s">
        <v>11</v>
      </c>
      <c r="L2" s="4" t="s">
        <v>12</v>
      </c>
      <c r="M2" s="4" t="s">
        <v>13</v>
      </c>
      <c r="N2" s="4" t="s">
        <v>14</v>
      </c>
      <c r="O2" s="4" t="s">
        <v>15</v>
      </c>
      <c r="P2" s="4" t="s">
        <v>16</v>
      </c>
      <c r="Q2" s="4" t="s">
        <v>17</v>
      </c>
      <c r="R2" s="2" t="s">
        <v>18</v>
      </c>
      <c r="S2" s="2" t="s">
        <v>19</v>
      </c>
    </row>
    <row r="3" spans="1:19" ht="45.95" customHeight="1" x14ac:dyDescent="0.25">
      <c r="A3" s="5" t="s">
        <v>20</v>
      </c>
      <c r="B3" s="5" t="s">
        <v>20</v>
      </c>
      <c r="C3" s="5" t="s">
        <v>20</v>
      </c>
      <c r="D3" s="5" t="s">
        <v>20</v>
      </c>
      <c r="E3" s="5" t="s">
        <v>20</v>
      </c>
      <c r="F3" s="5" t="s">
        <v>21</v>
      </c>
      <c r="G3" s="5" t="s">
        <v>22</v>
      </c>
      <c r="H3" s="5" t="s">
        <v>23</v>
      </c>
      <c r="I3" s="5" t="s">
        <v>24</v>
      </c>
      <c r="J3" s="5" t="s">
        <v>25</v>
      </c>
      <c r="K3" s="5" t="s">
        <v>26</v>
      </c>
      <c r="L3" s="5" t="s">
        <v>27</v>
      </c>
      <c r="M3" s="5" t="s">
        <v>28</v>
      </c>
      <c r="N3" s="5" t="s">
        <v>29</v>
      </c>
      <c r="O3" s="5" t="s">
        <v>30</v>
      </c>
      <c r="P3" s="5" t="s">
        <v>31</v>
      </c>
      <c r="Q3" s="5" t="s">
        <v>32</v>
      </c>
      <c r="R3" s="5" t="s">
        <v>33</v>
      </c>
      <c r="S3" s="5" t="s">
        <v>34</v>
      </c>
    </row>
    <row r="4" spans="1:19" x14ac:dyDescent="0.25">
      <c r="A4" s="6" t="s">
        <v>35</v>
      </c>
      <c r="B4" s="6" t="s">
        <v>36</v>
      </c>
      <c r="C4" s="6" t="s">
        <v>37</v>
      </c>
      <c r="D4" s="6">
        <v>2020</v>
      </c>
      <c r="E4" s="6">
        <v>2025</v>
      </c>
      <c r="F4" s="6">
        <v>100</v>
      </c>
      <c r="G4" s="6">
        <v>137.5</v>
      </c>
      <c r="H4" s="6">
        <v>175</v>
      </c>
      <c r="I4" s="6">
        <v>212.5</v>
      </c>
      <c r="J4" s="6">
        <v>250</v>
      </c>
      <c r="K4" s="6">
        <v>287.5</v>
      </c>
      <c r="L4" s="6">
        <v>325</v>
      </c>
      <c r="M4" s="6">
        <v>362.5</v>
      </c>
      <c r="N4" s="6">
        <v>400</v>
      </c>
      <c r="O4" s="6">
        <v>437.5</v>
      </c>
      <c r="P4" s="6">
        <v>475</v>
      </c>
      <c r="Q4" s="6">
        <v>512.5</v>
      </c>
      <c r="R4" s="6" t="s">
        <v>38</v>
      </c>
      <c r="S4" s="6" t="s">
        <v>39</v>
      </c>
    </row>
    <row r="5" spans="1:19" x14ac:dyDescent="0.25">
      <c r="A5" s="7" t="s">
        <v>40</v>
      </c>
      <c r="B5" s="7" t="s">
        <v>41</v>
      </c>
      <c r="C5" s="7" t="s">
        <v>42</v>
      </c>
      <c r="D5" s="7">
        <v>2020</v>
      </c>
      <c r="E5" s="7">
        <v>2025</v>
      </c>
      <c r="F5" s="8"/>
      <c r="G5" s="8"/>
      <c r="H5" s="8"/>
      <c r="I5" s="8"/>
      <c r="J5" s="8"/>
      <c r="K5" s="8">
        <v>196</v>
      </c>
      <c r="L5" s="8">
        <v>280</v>
      </c>
      <c r="M5" s="8">
        <v>0</v>
      </c>
      <c r="N5" s="8">
        <v>22</v>
      </c>
      <c r="O5" s="8">
        <v>29.000000000000007</v>
      </c>
      <c r="P5" s="8">
        <v>1</v>
      </c>
      <c r="Q5" s="8"/>
      <c r="R5" s="8"/>
      <c r="S5" s="8"/>
    </row>
    <row r="6" spans="1:19" x14ac:dyDescent="0.25">
      <c r="A6" s="7" t="s">
        <v>43</v>
      </c>
      <c r="B6" s="7" t="s">
        <v>44</v>
      </c>
      <c r="C6" s="7" t="s">
        <v>42</v>
      </c>
      <c r="D6" s="7">
        <v>2020</v>
      </c>
      <c r="E6" s="7">
        <v>2025</v>
      </c>
      <c r="F6" s="8"/>
      <c r="G6" s="8"/>
      <c r="H6" s="8"/>
      <c r="I6" s="8"/>
      <c r="J6" s="8"/>
      <c r="K6" s="8">
        <v>93</v>
      </c>
      <c r="L6" s="8">
        <v>148</v>
      </c>
      <c r="M6" s="8">
        <v>0</v>
      </c>
      <c r="N6" s="8">
        <v>13</v>
      </c>
      <c r="O6" s="8">
        <v>15</v>
      </c>
      <c r="P6" s="8">
        <v>0</v>
      </c>
      <c r="Q6" s="8"/>
      <c r="R6" s="8"/>
      <c r="S6" s="8"/>
    </row>
    <row r="7" spans="1:19" x14ac:dyDescent="0.25">
      <c r="A7" s="7" t="s">
        <v>45</v>
      </c>
      <c r="B7" s="7" t="s">
        <v>46</v>
      </c>
      <c r="C7" s="7" t="s">
        <v>42</v>
      </c>
      <c r="D7" s="7">
        <v>2020</v>
      </c>
      <c r="E7" s="7">
        <v>2025</v>
      </c>
      <c r="F7" s="8"/>
      <c r="G7" s="8"/>
      <c r="H7" s="8"/>
      <c r="I7" s="8"/>
      <c r="J7" s="8"/>
      <c r="K7" s="8">
        <v>225</v>
      </c>
      <c r="L7" s="8">
        <v>373</v>
      </c>
      <c r="M7" s="8">
        <v>0</v>
      </c>
      <c r="N7" s="8">
        <v>16</v>
      </c>
      <c r="O7" s="8">
        <v>20.000000000000004</v>
      </c>
      <c r="P7" s="8">
        <v>2</v>
      </c>
      <c r="Q7" s="8"/>
      <c r="R7" s="8"/>
      <c r="S7" s="8"/>
    </row>
    <row r="8" spans="1:19" x14ac:dyDescent="0.25">
      <c r="A8" s="7" t="s">
        <v>47</v>
      </c>
      <c r="B8" s="7" t="s">
        <v>48</v>
      </c>
      <c r="C8" s="7" t="s">
        <v>42</v>
      </c>
      <c r="D8" s="7">
        <v>2020</v>
      </c>
      <c r="E8" s="7">
        <v>2025</v>
      </c>
      <c r="F8" s="8"/>
      <c r="G8" s="8"/>
      <c r="H8" s="8"/>
      <c r="I8" s="8"/>
      <c r="J8" s="8"/>
      <c r="K8" s="8">
        <v>100</v>
      </c>
      <c r="L8" s="8">
        <v>155</v>
      </c>
      <c r="M8" s="8">
        <v>0</v>
      </c>
      <c r="N8" s="8">
        <v>7</v>
      </c>
      <c r="O8" s="8">
        <v>13</v>
      </c>
      <c r="P8" s="8">
        <v>0</v>
      </c>
      <c r="Q8" s="8"/>
      <c r="R8" s="8"/>
      <c r="S8" s="8"/>
    </row>
    <row r="9" spans="1:19" x14ac:dyDescent="0.25">
      <c r="A9" s="7" t="s">
        <v>49</v>
      </c>
      <c r="B9" s="7" t="s">
        <v>50</v>
      </c>
      <c r="C9" s="7" t="s">
        <v>42</v>
      </c>
      <c r="D9" s="7">
        <v>2020</v>
      </c>
      <c r="E9" s="7">
        <v>2025</v>
      </c>
      <c r="F9" s="8"/>
      <c r="G9" s="8"/>
      <c r="H9" s="8"/>
      <c r="I9" s="8"/>
      <c r="J9" s="8"/>
      <c r="K9" s="8">
        <v>227</v>
      </c>
      <c r="L9" s="8">
        <v>355</v>
      </c>
      <c r="M9" s="8">
        <v>0</v>
      </c>
      <c r="N9" s="8">
        <v>11</v>
      </c>
      <c r="O9" s="8">
        <v>11</v>
      </c>
      <c r="P9" s="8">
        <v>0</v>
      </c>
      <c r="Q9" s="8"/>
      <c r="R9" s="8"/>
      <c r="S9" s="8"/>
    </row>
    <row r="10" spans="1:19" x14ac:dyDescent="0.25">
      <c r="A10" s="7" t="s">
        <v>51</v>
      </c>
      <c r="B10" s="7" t="s">
        <v>42</v>
      </c>
      <c r="C10" s="7" t="s">
        <v>42</v>
      </c>
      <c r="D10" s="7">
        <v>2020</v>
      </c>
      <c r="E10" s="7">
        <v>2025</v>
      </c>
      <c r="F10" s="8"/>
      <c r="G10" s="8"/>
      <c r="H10" s="8"/>
      <c r="I10" s="8"/>
      <c r="J10" s="8"/>
      <c r="K10" s="8">
        <v>438</v>
      </c>
      <c r="L10" s="8">
        <v>974.00000000000045</v>
      </c>
      <c r="M10" s="8">
        <v>0</v>
      </c>
      <c r="N10" s="8">
        <v>50</v>
      </c>
      <c r="O10" s="8">
        <v>129.00000000000003</v>
      </c>
      <c r="P10" s="8">
        <v>5</v>
      </c>
      <c r="Q10" s="8"/>
      <c r="R10" s="8"/>
      <c r="S10" s="8"/>
    </row>
    <row r="11" spans="1:19" x14ac:dyDescent="0.25">
      <c r="A11" s="7" t="s">
        <v>52</v>
      </c>
      <c r="B11" s="7" t="s">
        <v>53</v>
      </c>
      <c r="C11" s="7" t="s">
        <v>42</v>
      </c>
      <c r="D11" s="7">
        <v>2020</v>
      </c>
      <c r="E11" s="7">
        <v>2025</v>
      </c>
      <c r="F11" s="8"/>
      <c r="G11" s="8"/>
      <c r="H11" s="8"/>
      <c r="I11" s="8"/>
      <c r="J11" s="8"/>
      <c r="K11" s="8">
        <v>334</v>
      </c>
      <c r="L11" s="8">
        <v>763</v>
      </c>
      <c r="M11" s="8">
        <v>0</v>
      </c>
      <c r="N11" s="8">
        <v>37</v>
      </c>
      <c r="O11" s="8">
        <v>61</v>
      </c>
      <c r="P11" s="8">
        <v>3</v>
      </c>
      <c r="Q11" s="8"/>
      <c r="R11" s="8"/>
      <c r="S11" s="8"/>
    </row>
    <row r="12" spans="1:19" x14ac:dyDescent="0.25">
      <c r="A12" s="7" t="s">
        <v>54</v>
      </c>
      <c r="B12" s="7" t="s">
        <v>55</v>
      </c>
      <c r="C12" s="7" t="s">
        <v>42</v>
      </c>
      <c r="D12" s="7">
        <v>2020</v>
      </c>
      <c r="E12" s="7">
        <v>2025</v>
      </c>
      <c r="F12" s="8"/>
      <c r="G12" s="8"/>
      <c r="H12" s="8"/>
      <c r="I12" s="8"/>
      <c r="J12" s="8"/>
      <c r="K12" s="8">
        <v>259</v>
      </c>
      <c r="L12" s="8">
        <v>530.00000000000023</v>
      </c>
      <c r="M12" s="8">
        <v>931080</v>
      </c>
      <c r="N12" s="8">
        <v>29</v>
      </c>
      <c r="O12" s="8">
        <v>51</v>
      </c>
      <c r="P12" s="8">
        <v>7</v>
      </c>
      <c r="Q12" s="8"/>
      <c r="R12" s="8"/>
      <c r="S12" s="8"/>
    </row>
    <row r="13" spans="1:19" x14ac:dyDescent="0.25">
      <c r="A13" s="7" t="s">
        <v>56</v>
      </c>
      <c r="B13" s="7" t="s">
        <v>57</v>
      </c>
      <c r="C13" s="7" t="s">
        <v>42</v>
      </c>
      <c r="D13" s="7">
        <v>2020</v>
      </c>
      <c r="E13" s="7">
        <v>2025</v>
      </c>
      <c r="F13" s="8"/>
      <c r="G13" s="8"/>
      <c r="H13" s="8"/>
      <c r="I13" s="8"/>
      <c r="J13" s="8"/>
      <c r="K13" s="8">
        <v>215</v>
      </c>
      <c r="L13" s="8">
        <v>387</v>
      </c>
      <c r="M13" s="8">
        <v>0</v>
      </c>
      <c r="N13" s="8">
        <v>33</v>
      </c>
      <c r="O13" s="8">
        <v>42</v>
      </c>
      <c r="P13" s="8">
        <v>0</v>
      </c>
      <c r="Q13" s="8"/>
      <c r="R13" s="8"/>
      <c r="S13" s="8"/>
    </row>
    <row r="14" spans="1:19" x14ac:dyDescent="0.25">
      <c r="A14" s="7" t="s">
        <v>58</v>
      </c>
      <c r="B14" s="7" t="s">
        <v>59</v>
      </c>
      <c r="C14" s="7" t="s">
        <v>42</v>
      </c>
      <c r="D14" s="7">
        <v>2020</v>
      </c>
      <c r="E14" s="7">
        <v>2025</v>
      </c>
      <c r="F14" s="8"/>
      <c r="G14" s="8"/>
      <c r="H14" s="8"/>
      <c r="I14" s="8"/>
      <c r="J14" s="8"/>
      <c r="K14" s="8">
        <v>443</v>
      </c>
      <c r="L14" s="8">
        <v>903.00000000000102</v>
      </c>
      <c r="M14" s="8">
        <v>0</v>
      </c>
      <c r="N14" s="8">
        <v>35</v>
      </c>
      <c r="O14" s="8">
        <v>49</v>
      </c>
      <c r="P14" s="8">
        <v>2</v>
      </c>
      <c r="Q14" s="8"/>
      <c r="R14" s="8"/>
      <c r="S14" s="8"/>
    </row>
    <row r="15" spans="1:19" x14ac:dyDescent="0.25">
      <c r="A15" s="7" t="s">
        <v>60</v>
      </c>
      <c r="B15" s="7" t="s">
        <v>61</v>
      </c>
      <c r="C15" s="7" t="s">
        <v>42</v>
      </c>
      <c r="D15" s="7">
        <v>2020</v>
      </c>
      <c r="E15" s="7">
        <v>2025</v>
      </c>
      <c r="F15" s="8"/>
      <c r="G15" s="8"/>
      <c r="H15" s="8"/>
      <c r="I15" s="8"/>
      <c r="J15" s="8"/>
      <c r="K15" s="8">
        <v>218</v>
      </c>
      <c r="L15" s="8">
        <v>442.00000000000011</v>
      </c>
      <c r="M15" s="8">
        <v>0</v>
      </c>
      <c r="N15" s="8">
        <v>22</v>
      </c>
      <c r="O15" s="8">
        <v>83.000000000000028</v>
      </c>
      <c r="P15" s="8">
        <v>1</v>
      </c>
      <c r="Q15" s="8"/>
      <c r="R15" s="8"/>
      <c r="S15" s="8"/>
    </row>
    <row r="16" spans="1:19" x14ac:dyDescent="0.25">
      <c r="A16" s="7" t="s">
        <v>62</v>
      </c>
      <c r="B16" s="7" t="s">
        <v>63</v>
      </c>
      <c r="C16" s="7" t="s">
        <v>64</v>
      </c>
      <c r="D16" s="7">
        <v>2020</v>
      </c>
      <c r="E16" s="7">
        <v>2025</v>
      </c>
      <c r="F16" s="8"/>
      <c r="G16" s="8"/>
      <c r="H16" s="8"/>
      <c r="I16" s="8"/>
      <c r="J16" s="8"/>
      <c r="K16" s="8">
        <v>106</v>
      </c>
      <c r="L16" s="8">
        <v>136</v>
      </c>
      <c r="M16" s="8">
        <v>0</v>
      </c>
      <c r="N16" s="8">
        <v>1</v>
      </c>
      <c r="O16" s="8">
        <v>2</v>
      </c>
      <c r="P16" s="8">
        <v>0</v>
      </c>
      <c r="Q16" s="8"/>
      <c r="R16" s="8"/>
      <c r="S16" s="8"/>
    </row>
    <row r="17" spans="1:19" x14ac:dyDescent="0.25">
      <c r="A17" s="7" t="s">
        <v>65</v>
      </c>
      <c r="B17" s="7" t="s">
        <v>66</v>
      </c>
      <c r="C17" s="7" t="s">
        <v>64</v>
      </c>
      <c r="D17" s="7">
        <v>2020</v>
      </c>
      <c r="E17" s="7">
        <v>2025</v>
      </c>
      <c r="F17" s="8"/>
      <c r="G17" s="8"/>
      <c r="H17" s="8"/>
      <c r="I17" s="8"/>
      <c r="J17" s="8"/>
      <c r="K17" s="8">
        <v>251</v>
      </c>
      <c r="L17" s="8">
        <v>498.00000000000006</v>
      </c>
      <c r="M17" s="8">
        <v>0</v>
      </c>
      <c r="N17" s="8">
        <v>28</v>
      </c>
      <c r="O17" s="8">
        <v>49.000000000000007</v>
      </c>
      <c r="P17" s="8">
        <v>1</v>
      </c>
      <c r="Q17" s="8"/>
      <c r="R17" s="8"/>
      <c r="S17" s="8"/>
    </row>
    <row r="18" spans="1:19" x14ac:dyDescent="0.25">
      <c r="A18" s="7" t="s">
        <v>67</v>
      </c>
      <c r="B18" s="7" t="s">
        <v>68</v>
      </c>
      <c r="C18" s="7" t="s">
        <v>64</v>
      </c>
      <c r="D18" s="7">
        <v>2020</v>
      </c>
      <c r="E18" s="7">
        <v>2025</v>
      </c>
      <c r="F18" s="8"/>
      <c r="G18" s="8"/>
      <c r="H18" s="8"/>
      <c r="I18" s="8"/>
      <c r="J18" s="8"/>
      <c r="K18" s="8">
        <v>253</v>
      </c>
      <c r="L18" s="8">
        <v>504</v>
      </c>
      <c r="M18" s="8">
        <v>0</v>
      </c>
      <c r="N18" s="8">
        <v>27</v>
      </c>
      <c r="O18" s="8">
        <v>54</v>
      </c>
      <c r="P18" s="8">
        <v>0</v>
      </c>
      <c r="Q18" s="8"/>
      <c r="R18" s="8"/>
      <c r="S18" s="8"/>
    </row>
    <row r="19" spans="1:19" x14ac:dyDescent="0.25">
      <c r="A19" s="7" t="s">
        <v>69</v>
      </c>
      <c r="B19" s="7" t="s">
        <v>70</v>
      </c>
      <c r="C19" s="7" t="s">
        <v>64</v>
      </c>
      <c r="D19" s="7">
        <v>2020</v>
      </c>
      <c r="E19" s="7">
        <v>2025</v>
      </c>
      <c r="F19" s="8"/>
      <c r="G19" s="8"/>
      <c r="H19" s="8"/>
      <c r="I19" s="8"/>
      <c r="J19" s="8"/>
      <c r="K19" s="8">
        <v>77</v>
      </c>
      <c r="L19" s="8">
        <v>88</v>
      </c>
      <c r="M19" s="8">
        <v>0</v>
      </c>
      <c r="N19" s="8">
        <v>4</v>
      </c>
      <c r="O19" s="8">
        <v>4</v>
      </c>
      <c r="P19" s="8">
        <v>0</v>
      </c>
      <c r="Q19" s="8"/>
      <c r="R19" s="8"/>
      <c r="S19" s="8"/>
    </row>
    <row r="20" spans="1:19" x14ac:dyDescent="0.25">
      <c r="A20" s="7" t="s">
        <v>71</v>
      </c>
      <c r="B20" s="7" t="s">
        <v>72</v>
      </c>
      <c r="C20" s="7" t="s">
        <v>64</v>
      </c>
      <c r="D20" s="7">
        <v>2020</v>
      </c>
      <c r="E20" s="7">
        <v>2025</v>
      </c>
      <c r="F20" s="8"/>
      <c r="G20" s="8"/>
      <c r="H20" s="8"/>
      <c r="I20" s="8"/>
      <c r="J20" s="8"/>
      <c r="K20" s="8">
        <v>460</v>
      </c>
      <c r="L20" s="8">
        <v>1038.9999999999998</v>
      </c>
      <c r="M20" s="8">
        <v>1559175</v>
      </c>
      <c r="N20" s="8">
        <v>25</v>
      </c>
      <c r="O20" s="8">
        <v>43</v>
      </c>
      <c r="P20" s="8">
        <v>7</v>
      </c>
      <c r="Q20" s="8"/>
      <c r="R20" s="8"/>
      <c r="S20" s="8"/>
    </row>
    <row r="21" spans="1:19" x14ac:dyDescent="0.25">
      <c r="A21" s="7" t="s">
        <v>73</v>
      </c>
      <c r="B21" s="7" t="s">
        <v>74</v>
      </c>
      <c r="C21" s="7" t="s">
        <v>64</v>
      </c>
      <c r="D21" s="7">
        <v>2020</v>
      </c>
      <c r="E21" s="7">
        <v>2025</v>
      </c>
      <c r="F21" s="8"/>
      <c r="G21" s="8"/>
      <c r="H21" s="8"/>
      <c r="I21" s="8"/>
      <c r="J21" s="8"/>
      <c r="K21" s="8">
        <v>208</v>
      </c>
      <c r="L21" s="8">
        <v>369</v>
      </c>
      <c r="M21" s="8">
        <v>0</v>
      </c>
      <c r="N21" s="8">
        <v>16</v>
      </c>
      <c r="O21" s="8">
        <v>22.000000000000004</v>
      </c>
      <c r="P21" s="8">
        <v>2</v>
      </c>
      <c r="Q21" s="8"/>
      <c r="R21" s="8"/>
      <c r="S21" s="8"/>
    </row>
    <row r="22" spans="1:19" x14ac:dyDescent="0.25">
      <c r="A22" s="7" t="s">
        <v>75</v>
      </c>
      <c r="B22" s="7" t="s">
        <v>76</v>
      </c>
      <c r="C22" s="7" t="s">
        <v>64</v>
      </c>
      <c r="D22" s="7">
        <v>2020</v>
      </c>
      <c r="E22" s="7">
        <v>2025</v>
      </c>
      <c r="F22" s="8"/>
      <c r="G22" s="8"/>
      <c r="H22" s="8"/>
      <c r="I22" s="8"/>
      <c r="J22" s="8"/>
      <c r="K22" s="8">
        <v>178</v>
      </c>
      <c r="L22" s="8">
        <v>340.99999999999989</v>
      </c>
      <c r="M22" s="8">
        <v>0</v>
      </c>
      <c r="N22" s="8">
        <v>13</v>
      </c>
      <c r="O22" s="8">
        <v>19</v>
      </c>
      <c r="P22" s="8">
        <v>3</v>
      </c>
      <c r="Q22" s="8"/>
      <c r="R22" s="8"/>
      <c r="S22" s="8"/>
    </row>
    <row r="23" spans="1:19" x14ac:dyDescent="0.25">
      <c r="A23" s="7" t="s">
        <v>77</v>
      </c>
      <c r="B23" s="7" t="s">
        <v>78</v>
      </c>
      <c r="C23" s="7" t="s">
        <v>64</v>
      </c>
      <c r="D23" s="7">
        <v>2020</v>
      </c>
      <c r="E23" s="7">
        <v>2025</v>
      </c>
      <c r="F23" s="8"/>
      <c r="G23" s="8"/>
      <c r="H23" s="8"/>
      <c r="I23" s="8"/>
      <c r="J23" s="8"/>
      <c r="K23" s="8">
        <v>148</v>
      </c>
      <c r="L23" s="8">
        <v>238</v>
      </c>
      <c r="M23" s="8">
        <v>0</v>
      </c>
      <c r="N23" s="8">
        <v>15</v>
      </c>
      <c r="O23" s="8">
        <v>15</v>
      </c>
      <c r="P23" s="8">
        <v>0</v>
      </c>
      <c r="Q23" s="8"/>
      <c r="R23" s="8"/>
      <c r="S23" s="8"/>
    </row>
    <row r="24" spans="1:19" x14ac:dyDescent="0.25">
      <c r="A24" s="7" t="s">
        <v>79</v>
      </c>
      <c r="B24" s="7" t="s">
        <v>80</v>
      </c>
      <c r="C24" s="7" t="s">
        <v>64</v>
      </c>
      <c r="D24" s="7">
        <v>2020</v>
      </c>
      <c r="E24" s="7">
        <v>2025</v>
      </c>
      <c r="F24" s="8"/>
      <c r="G24" s="8"/>
      <c r="H24" s="8"/>
      <c r="I24" s="8"/>
      <c r="J24" s="8"/>
      <c r="K24" s="8">
        <v>180</v>
      </c>
      <c r="L24" s="8">
        <v>284.99999999999989</v>
      </c>
      <c r="M24" s="8">
        <v>0</v>
      </c>
      <c r="N24" s="8">
        <v>14</v>
      </c>
      <c r="O24" s="8">
        <v>17</v>
      </c>
      <c r="P24" s="8">
        <v>2</v>
      </c>
      <c r="Q24" s="8"/>
      <c r="R24" s="8"/>
      <c r="S24" s="8"/>
    </row>
    <row r="25" spans="1:19" x14ac:dyDescent="0.25">
      <c r="A25" s="7" t="s">
        <v>81</v>
      </c>
      <c r="B25" s="7" t="s">
        <v>82</v>
      </c>
      <c r="C25" s="7" t="s">
        <v>64</v>
      </c>
      <c r="D25" s="7">
        <v>2020</v>
      </c>
      <c r="E25" s="7">
        <v>2025</v>
      </c>
      <c r="F25" s="8"/>
      <c r="G25" s="8"/>
      <c r="H25" s="8"/>
      <c r="I25" s="8"/>
      <c r="J25" s="8"/>
      <c r="K25" s="8">
        <v>251</v>
      </c>
      <c r="L25" s="8">
        <v>498.00000000000006</v>
      </c>
      <c r="M25" s="8">
        <v>8602</v>
      </c>
      <c r="N25" s="8">
        <v>28</v>
      </c>
      <c r="O25" s="8">
        <v>49.000000000000007</v>
      </c>
      <c r="P25" s="8">
        <v>0</v>
      </c>
      <c r="Q25" s="8"/>
      <c r="R25" s="8"/>
      <c r="S25" s="8"/>
    </row>
    <row r="26" spans="1:19" x14ac:dyDescent="0.25">
      <c r="A26" s="7" t="s">
        <v>83</v>
      </c>
      <c r="B26" s="7" t="s">
        <v>84</v>
      </c>
      <c r="C26" s="7" t="s">
        <v>64</v>
      </c>
      <c r="D26" s="7">
        <v>2020</v>
      </c>
      <c r="E26" s="7">
        <v>2025</v>
      </c>
      <c r="F26" s="8"/>
      <c r="G26" s="8"/>
      <c r="H26" s="8"/>
      <c r="I26" s="8"/>
      <c r="J26" s="8"/>
      <c r="K26" s="8">
        <v>131</v>
      </c>
      <c r="L26" s="8">
        <v>238.00000000000006</v>
      </c>
      <c r="M26" s="8">
        <v>0</v>
      </c>
      <c r="N26" s="8">
        <v>12</v>
      </c>
      <c r="O26" s="8">
        <v>25</v>
      </c>
      <c r="P26" s="8">
        <v>2</v>
      </c>
      <c r="Q26" s="8"/>
      <c r="R26" s="8"/>
      <c r="S26" s="8"/>
    </row>
    <row r="27" spans="1:19" x14ac:dyDescent="0.25">
      <c r="A27" s="7" t="s">
        <v>85</v>
      </c>
      <c r="B27" s="7" t="s">
        <v>86</v>
      </c>
      <c r="C27" s="7" t="s">
        <v>64</v>
      </c>
      <c r="D27" s="7">
        <v>2020</v>
      </c>
      <c r="E27" s="7">
        <v>2025</v>
      </c>
      <c r="F27" s="8"/>
      <c r="G27" s="8"/>
      <c r="H27" s="8"/>
      <c r="I27" s="8"/>
      <c r="J27" s="8"/>
      <c r="K27" s="8">
        <v>87</v>
      </c>
      <c r="L27" s="8">
        <v>102.00000000000003</v>
      </c>
      <c r="M27" s="8">
        <v>0</v>
      </c>
      <c r="N27" s="8">
        <v>2</v>
      </c>
      <c r="O27" s="8">
        <v>3</v>
      </c>
      <c r="P27" s="8">
        <v>0</v>
      </c>
      <c r="Q27" s="8"/>
      <c r="R27" s="8"/>
      <c r="S27" s="8"/>
    </row>
    <row r="28" spans="1:19" x14ac:dyDescent="0.25">
      <c r="A28" s="7" t="s">
        <v>87</v>
      </c>
      <c r="B28" s="7" t="s">
        <v>88</v>
      </c>
      <c r="C28" s="7" t="s">
        <v>64</v>
      </c>
      <c r="D28" s="7">
        <v>2020</v>
      </c>
      <c r="E28" s="7">
        <v>2025</v>
      </c>
      <c r="F28" s="8"/>
      <c r="G28" s="8"/>
      <c r="H28" s="8"/>
      <c r="I28" s="8"/>
      <c r="J28" s="8"/>
      <c r="K28" s="8">
        <v>327</v>
      </c>
      <c r="L28" s="8">
        <v>580</v>
      </c>
      <c r="M28" s="8">
        <v>143547</v>
      </c>
      <c r="N28" s="8">
        <v>41</v>
      </c>
      <c r="O28" s="8">
        <v>51.000000000000007</v>
      </c>
      <c r="P28" s="8">
        <v>2</v>
      </c>
      <c r="Q28" s="8"/>
      <c r="R28" s="8"/>
      <c r="S28" s="8"/>
    </row>
    <row r="29" spans="1:19" x14ac:dyDescent="0.25">
      <c r="A29" s="7" t="s">
        <v>89</v>
      </c>
      <c r="B29" s="7" t="s">
        <v>90</v>
      </c>
      <c r="C29" s="7" t="s">
        <v>64</v>
      </c>
      <c r="D29" s="7">
        <v>2020</v>
      </c>
      <c r="E29" s="7">
        <v>2025</v>
      </c>
      <c r="F29" s="8"/>
      <c r="G29" s="8"/>
      <c r="H29" s="8"/>
      <c r="I29" s="8"/>
      <c r="J29" s="8"/>
      <c r="K29" s="8">
        <v>224</v>
      </c>
      <c r="L29" s="8">
        <v>319</v>
      </c>
      <c r="M29" s="8">
        <v>0</v>
      </c>
      <c r="N29" s="8">
        <v>7</v>
      </c>
      <c r="O29" s="8">
        <v>24</v>
      </c>
      <c r="P29" s="8">
        <v>0</v>
      </c>
      <c r="Q29" s="8"/>
      <c r="R29" s="8"/>
      <c r="S29" s="8"/>
    </row>
    <row r="30" spans="1:19" x14ac:dyDescent="0.25">
      <c r="A30" s="7" t="s">
        <v>91</v>
      </c>
      <c r="B30" s="7" t="s">
        <v>92</v>
      </c>
      <c r="C30" s="7" t="s">
        <v>64</v>
      </c>
      <c r="D30" s="7">
        <v>2020</v>
      </c>
      <c r="E30" s="7">
        <v>2025</v>
      </c>
      <c r="F30" s="8"/>
      <c r="G30" s="8"/>
      <c r="H30" s="8"/>
      <c r="I30" s="8"/>
      <c r="J30" s="8"/>
      <c r="K30" s="8">
        <v>100</v>
      </c>
      <c r="L30" s="8">
        <v>132.00000000000003</v>
      </c>
      <c r="M30" s="8">
        <v>0</v>
      </c>
      <c r="N30" s="8">
        <v>12</v>
      </c>
      <c r="O30" s="8">
        <v>15</v>
      </c>
      <c r="P30" s="8">
        <v>0</v>
      </c>
      <c r="Q30" s="8"/>
      <c r="R30" s="8"/>
      <c r="S30" s="8"/>
    </row>
    <row r="31" spans="1:19" x14ac:dyDescent="0.25">
      <c r="A31" s="7" t="s">
        <v>93</v>
      </c>
      <c r="B31" s="7" t="s">
        <v>94</v>
      </c>
      <c r="C31" s="7" t="s">
        <v>64</v>
      </c>
      <c r="D31" s="7">
        <v>2020</v>
      </c>
      <c r="E31" s="7">
        <v>2025</v>
      </c>
      <c r="F31" s="8"/>
      <c r="G31" s="8"/>
      <c r="H31" s="8"/>
      <c r="I31" s="8"/>
      <c r="J31" s="8"/>
      <c r="K31" s="8">
        <v>311</v>
      </c>
      <c r="L31" s="8">
        <v>632.00000000000023</v>
      </c>
      <c r="M31" s="8">
        <v>0</v>
      </c>
      <c r="N31" s="8">
        <v>23</v>
      </c>
      <c r="O31" s="8">
        <v>36</v>
      </c>
      <c r="P31" s="8">
        <v>1</v>
      </c>
      <c r="Q31" s="8"/>
      <c r="R31" s="8"/>
      <c r="S31" s="8"/>
    </row>
    <row r="32" spans="1:19" x14ac:dyDescent="0.25">
      <c r="A32" s="7" t="s">
        <v>95</v>
      </c>
      <c r="B32" s="7" t="s">
        <v>64</v>
      </c>
      <c r="C32" s="7" t="s">
        <v>64</v>
      </c>
      <c r="D32" s="7">
        <v>2020</v>
      </c>
      <c r="E32" s="7">
        <v>2025</v>
      </c>
      <c r="F32" s="8"/>
      <c r="G32" s="8"/>
      <c r="H32" s="8"/>
      <c r="I32" s="8"/>
      <c r="J32" s="8"/>
      <c r="K32" s="8">
        <v>603</v>
      </c>
      <c r="L32" s="8">
        <v>1269.0000000000011</v>
      </c>
      <c r="M32" s="8">
        <v>0</v>
      </c>
      <c r="N32" s="8">
        <v>58</v>
      </c>
      <c r="O32" s="8">
        <v>96.000000000000043</v>
      </c>
      <c r="P32" s="8">
        <v>4</v>
      </c>
      <c r="Q32" s="8"/>
      <c r="R32" s="8"/>
      <c r="S32" s="8"/>
    </row>
    <row r="33" spans="1:19" x14ac:dyDescent="0.25">
      <c r="A33" s="7" t="s">
        <v>96</v>
      </c>
      <c r="B33" s="7" t="s">
        <v>97</v>
      </c>
      <c r="C33" s="7" t="s">
        <v>64</v>
      </c>
      <c r="D33" s="7">
        <v>2020</v>
      </c>
      <c r="E33" s="7">
        <v>2025</v>
      </c>
      <c r="F33" s="8"/>
      <c r="G33" s="8"/>
      <c r="H33" s="8"/>
      <c r="I33" s="8"/>
      <c r="J33" s="8"/>
      <c r="K33" s="8">
        <v>54</v>
      </c>
      <c r="L33" s="8">
        <v>75.000000000000014</v>
      </c>
      <c r="M33" s="8">
        <v>0</v>
      </c>
      <c r="N33" s="8">
        <v>6</v>
      </c>
      <c r="O33" s="8">
        <v>9</v>
      </c>
      <c r="P33" s="8">
        <v>0</v>
      </c>
      <c r="Q33" s="8"/>
      <c r="R33" s="8"/>
      <c r="S33" s="8"/>
    </row>
  </sheetData>
  <mergeCells count="1">
    <mergeCell ref="A1:S1"/>
  </mergeCells>
  <dataValidations count="1">
    <dataValidation type="decimal" operator="greaterThanOrEqual" allowBlank="1" errorTitle="Invalid value" error="Raw values must be numbers &gt;= 0." sqref="F5:Q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3"/>
  <sheetViews>
    <sheetView workbookViewId="0">
      <pane xSplit="5" ySplit="3" topLeftCell="F4" activePane="bottomRight" state="frozen"/>
      <selection pane="topRight"/>
      <selection pane="bottomLeft"/>
      <selection pane="bottomRight" sqref="A1:S1"/>
    </sheetView>
  </sheetViews>
  <sheetFormatPr defaultRowHeight="15" x14ac:dyDescent="0.25"/>
  <cols>
    <col min="1" max="1" width="14" customWidth="1"/>
    <col min="2" max="2" width="34" customWidth="1"/>
    <col min="3" max="3" width="16" customWidth="1"/>
    <col min="4" max="5" width="11" customWidth="1"/>
    <col min="6" max="19" width="16" customWidth="1"/>
  </cols>
  <sheetData>
    <row r="1" spans="1:19" ht="16.5" x14ac:dyDescent="0.25">
      <c r="A1" s="18" t="s">
        <v>98</v>
      </c>
      <c r="B1" s="19"/>
      <c r="C1" s="19"/>
      <c r="D1" s="19"/>
      <c r="E1" s="19"/>
      <c r="F1" s="19"/>
      <c r="G1" s="19"/>
      <c r="H1" s="19"/>
      <c r="I1" s="19"/>
      <c r="J1" s="19"/>
      <c r="K1" s="19"/>
      <c r="L1" s="19"/>
      <c r="M1" s="19"/>
      <c r="N1" s="19"/>
      <c r="O1" s="19"/>
      <c r="P1" s="19"/>
      <c r="Q1" s="19"/>
      <c r="R1" s="19"/>
      <c r="S1" s="19"/>
    </row>
    <row r="2" spans="1:19" x14ac:dyDescent="0.25">
      <c r="A2" s="2" t="s">
        <v>1</v>
      </c>
      <c r="B2" s="2" t="s">
        <v>2</v>
      </c>
      <c r="C2" s="2" t="s">
        <v>3</v>
      </c>
      <c r="D2" s="2" t="s">
        <v>4</v>
      </c>
      <c r="E2" s="2" t="s">
        <v>5</v>
      </c>
      <c r="F2" s="3" t="s">
        <v>6</v>
      </c>
      <c r="G2" s="3" t="s">
        <v>7</v>
      </c>
      <c r="H2" s="3" t="s">
        <v>8</v>
      </c>
      <c r="I2" s="3" t="s">
        <v>9</v>
      </c>
      <c r="J2" s="3" t="s">
        <v>10</v>
      </c>
      <c r="K2" s="4" t="s">
        <v>11</v>
      </c>
      <c r="L2" s="4" t="s">
        <v>12</v>
      </c>
      <c r="M2" s="4" t="s">
        <v>13</v>
      </c>
      <c r="N2" s="4" t="s">
        <v>14</v>
      </c>
      <c r="O2" s="4" t="s">
        <v>15</v>
      </c>
      <c r="P2" s="4" t="s">
        <v>16</v>
      </c>
      <c r="Q2" s="4" t="s">
        <v>17</v>
      </c>
      <c r="R2" s="2" t="s">
        <v>18</v>
      </c>
      <c r="S2" s="2" t="s">
        <v>19</v>
      </c>
    </row>
    <row r="3" spans="1:19" ht="45.95" customHeight="1" x14ac:dyDescent="0.25">
      <c r="A3" s="5" t="s">
        <v>20</v>
      </c>
      <c r="B3" s="5" t="s">
        <v>20</v>
      </c>
      <c r="C3" s="5" t="s">
        <v>20</v>
      </c>
      <c r="D3" s="5" t="s">
        <v>20</v>
      </c>
      <c r="E3" s="5" t="s">
        <v>20</v>
      </c>
      <c r="F3" s="5" t="s">
        <v>21</v>
      </c>
      <c r="G3" s="5" t="s">
        <v>22</v>
      </c>
      <c r="H3" s="5" t="s">
        <v>23</v>
      </c>
      <c r="I3" s="5" t="s">
        <v>24</v>
      </c>
      <c r="J3" s="5" t="s">
        <v>25</v>
      </c>
      <c r="K3" s="5" t="s">
        <v>26</v>
      </c>
      <c r="L3" s="5" t="s">
        <v>27</v>
      </c>
      <c r="M3" s="5" t="s">
        <v>28</v>
      </c>
      <c r="N3" s="5" t="s">
        <v>29</v>
      </c>
      <c r="O3" s="5" t="s">
        <v>30</v>
      </c>
      <c r="P3" s="5" t="s">
        <v>31</v>
      </c>
      <c r="Q3" s="5" t="s">
        <v>32</v>
      </c>
      <c r="R3" s="5" t="s">
        <v>33</v>
      </c>
      <c r="S3" s="5" t="s">
        <v>34</v>
      </c>
    </row>
    <row r="4" spans="1:19" x14ac:dyDescent="0.25">
      <c r="A4" s="6" t="s">
        <v>35</v>
      </c>
      <c r="B4" s="6" t="s">
        <v>36</v>
      </c>
      <c r="C4" s="6" t="s">
        <v>37</v>
      </c>
      <c r="D4" s="6">
        <v>2025</v>
      </c>
      <c r="E4" s="6">
        <v>2030</v>
      </c>
      <c r="F4" s="6">
        <v>100</v>
      </c>
      <c r="G4" s="6">
        <v>137.5</v>
      </c>
      <c r="H4" s="6">
        <v>175</v>
      </c>
      <c r="I4" s="6">
        <v>212.5</v>
      </c>
      <c r="J4" s="6">
        <v>250</v>
      </c>
      <c r="K4" s="6">
        <v>287.5</v>
      </c>
      <c r="L4" s="6">
        <v>325</v>
      </c>
      <c r="M4" s="6">
        <v>362.5</v>
      </c>
      <c r="N4" s="6">
        <v>400</v>
      </c>
      <c r="O4" s="6">
        <v>437.5</v>
      </c>
      <c r="P4" s="6">
        <v>475</v>
      </c>
      <c r="Q4" s="6">
        <v>512.5</v>
      </c>
      <c r="R4" s="6" t="s">
        <v>99</v>
      </c>
      <c r="S4" s="6" t="s">
        <v>39</v>
      </c>
    </row>
    <row r="5" spans="1:19" x14ac:dyDescent="0.25">
      <c r="A5" s="7" t="s">
        <v>40</v>
      </c>
      <c r="B5" s="7" t="s">
        <v>41</v>
      </c>
      <c r="C5" s="7" t="s">
        <v>42</v>
      </c>
      <c r="D5" s="7">
        <v>2025</v>
      </c>
      <c r="E5" s="7">
        <v>2030</v>
      </c>
      <c r="F5" s="8"/>
      <c r="G5" s="8"/>
      <c r="H5" s="8"/>
      <c r="I5" s="8"/>
      <c r="J5" s="8"/>
      <c r="K5" s="8"/>
      <c r="L5" s="8"/>
      <c r="M5" s="8"/>
      <c r="N5" s="8"/>
      <c r="O5" s="8"/>
      <c r="P5" s="8"/>
      <c r="Q5" s="8"/>
      <c r="R5" s="8"/>
      <c r="S5" s="8"/>
    </row>
    <row r="6" spans="1:19" x14ac:dyDescent="0.25">
      <c r="A6" s="7" t="s">
        <v>43</v>
      </c>
      <c r="B6" s="7" t="s">
        <v>44</v>
      </c>
      <c r="C6" s="7" t="s">
        <v>42</v>
      </c>
      <c r="D6" s="7">
        <v>2025</v>
      </c>
      <c r="E6" s="7">
        <v>2030</v>
      </c>
      <c r="F6" s="8"/>
      <c r="G6" s="8"/>
      <c r="H6" s="8"/>
      <c r="I6" s="8"/>
      <c r="J6" s="8"/>
      <c r="K6" s="8"/>
      <c r="L6" s="8"/>
      <c r="M6" s="8"/>
      <c r="N6" s="8"/>
      <c r="O6" s="8"/>
      <c r="P6" s="8"/>
      <c r="Q6" s="8"/>
      <c r="R6" s="8"/>
      <c r="S6" s="8"/>
    </row>
    <row r="7" spans="1:19" x14ac:dyDescent="0.25">
      <c r="A7" s="7" t="s">
        <v>45</v>
      </c>
      <c r="B7" s="7" t="s">
        <v>46</v>
      </c>
      <c r="C7" s="7" t="s">
        <v>42</v>
      </c>
      <c r="D7" s="7">
        <v>2025</v>
      </c>
      <c r="E7" s="7">
        <v>2030</v>
      </c>
      <c r="F7" s="8"/>
      <c r="G7" s="8"/>
      <c r="H7" s="8"/>
      <c r="I7" s="8"/>
      <c r="J7" s="8"/>
      <c r="K7" s="8"/>
      <c r="L7" s="8"/>
      <c r="M7" s="8"/>
      <c r="N7" s="8"/>
      <c r="O7" s="8"/>
      <c r="P7" s="8"/>
      <c r="Q7" s="8"/>
      <c r="R7" s="8"/>
      <c r="S7" s="8"/>
    </row>
    <row r="8" spans="1:19" x14ac:dyDescent="0.25">
      <c r="A8" s="7" t="s">
        <v>47</v>
      </c>
      <c r="B8" s="7" t="s">
        <v>48</v>
      </c>
      <c r="C8" s="7" t="s">
        <v>42</v>
      </c>
      <c r="D8" s="7">
        <v>2025</v>
      </c>
      <c r="E8" s="7">
        <v>2030</v>
      </c>
      <c r="F8" s="8"/>
      <c r="G8" s="8"/>
      <c r="H8" s="8"/>
      <c r="I8" s="8"/>
      <c r="J8" s="8"/>
      <c r="K8" s="8"/>
      <c r="L8" s="8"/>
      <c r="M8" s="8"/>
      <c r="N8" s="8"/>
      <c r="O8" s="8"/>
      <c r="P8" s="8"/>
      <c r="Q8" s="8"/>
      <c r="R8" s="8"/>
      <c r="S8" s="8"/>
    </row>
    <row r="9" spans="1:19" x14ac:dyDescent="0.25">
      <c r="A9" s="7" t="s">
        <v>49</v>
      </c>
      <c r="B9" s="7" t="s">
        <v>50</v>
      </c>
      <c r="C9" s="7" t="s">
        <v>42</v>
      </c>
      <c r="D9" s="7">
        <v>2025</v>
      </c>
      <c r="E9" s="7">
        <v>2030</v>
      </c>
      <c r="F9" s="8"/>
      <c r="G9" s="8"/>
      <c r="H9" s="8"/>
      <c r="I9" s="8"/>
      <c r="J9" s="8"/>
      <c r="K9" s="8"/>
      <c r="L9" s="8"/>
      <c r="M9" s="8"/>
      <c r="N9" s="8"/>
      <c r="O9" s="8"/>
      <c r="P9" s="8"/>
      <c r="Q9" s="8"/>
      <c r="R9" s="8"/>
      <c r="S9" s="8"/>
    </row>
    <row r="10" spans="1:19" x14ac:dyDescent="0.25">
      <c r="A10" s="7" t="s">
        <v>51</v>
      </c>
      <c r="B10" s="7" t="s">
        <v>42</v>
      </c>
      <c r="C10" s="7" t="s">
        <v>42</v>
      </c>
      <c r="D10" s="7">
        <v>2025</v>
      </c>
      <c r="E10" s="7">
        <v>2030</v>
      </c>
      <c r="F10" s="8"/>
      <c r="G10" s="8"/>
      <c r="H10" s="8"/>
      <c r="I10" s="8"/>
      <c r="J10" s="8"/>
      <c r="K10" s="8"/>
      <c r="L10" s="8"/>
      <c r="M10" s="8"/>
      <c r="N10" s="8"/>
      <c r="O10" s="8"/>
      <c r="P10" s="8"/>
      <c r="Q10" s="8"/>
      <c r="R10" s="8"/>
      <c r="S10" s="8"/>
    </row>
    <row r="11" spans="1:19" x14ac:dyDescent="0.25">
      <c r="A11" s="7" t="s">
        <v>52</v>
      </c>
      <c r="B11" s="7" t="s">
        <v>53</v>
      </c>
      <c r="C11" s="7" t="s">
        <v>42</v>
      </c>
      <c r="D11" s="7">
        <v>2025</v>
      </c>
      <c r="E11" s="7">
        <v>2030</v>
      </c>
      <c r="F11" s="8"/>
      <c r="G11" s="8"/>
      <c r="H11" s="8"/>
      <c r="I11" s="8"/>
      <c r="J11" s="8"/>
      <c r="K11" s="8"/>
      <c r="L11" s="8"/>
      <c r="M11" s="8"/>
      <c r="N11" s="8"/>
      <c r="O11" s="8"/>
      <c r="P11" s="8"/>
      <c r="Q11" s="8"/>
      <c r="R11" s="8"/>
      <c r="S11" s="8"/>
    </row>
    <row r="12" spans="1:19" x14ac:dyDescent="0.25">
      <c r="A12" s="7" t="s">
        <v>54</v>
      </c>
      <c r="B12" s="7" t="s">
        <v>55</v>
      </c>
      <c r="C12" s="7" t="s">
        <v>42</v>
      </c>
      <c r="D12" s="7">
        <v>2025</v>
      </c>
      <c r="E12" s="7">
        <v>2030</v>
      </c>
      <c r="F12" s="8"/>
      <c r="G12" s="8"/>
      <c r="H12" s="8"/>
      <c r="I12" s="8"/>
      <c r="J12" s="8"/>
      <c r="K12" s="8"/>
      <c r="L12" s="8"/>
      <c r="M12" s="8"/>
      <c r="N12" s="8"/>
      <c r="O12" s="8"/>
      <c r="P12" s="8"/>
      <c r="Q12" s="8"/>
      <c r="R12" s="8"/>
      <c r="S12" s="8"/>
    </row>
    <row r="13" spans="1:19" x14ac:dyDescent="0.25">
      <c r="A13" s="7" t="s">
        <v>56</v>
      </c>
      <c r="B13" s="7" t="s">
        <v>57</v>
      </c>
      <c r="C13" s="7" t="s">
        <v>42</v>
      </c>
      <c r="D13" s="7">
        <v>2025</v>
      </c>
      <c r="E13" s="7">
        <v>2030</v>
      </c>
      <c r="F13" s="8"/>
      <c r="G13" s="8"/>
      <c r="H13" s="8"/>
      <c r="I13" s="8"/>
      <c r="J13" s="8"/>
      <c r="K13" s="8"/>
      <c r="L13" s="8"/>
      <c r="M13" s="8"/>
      <c r="N13" s="8"/>
      <c r="O13" s="8"/>
      <c r="P13" s="8"/>
      <c r="Q13" s="8"/>
      <c r="R13" s="8"/>
      <c r="S13" s="8"/>
    </row>
    <row r="14" spans="1:19" x14ac:dyDescent="0.25">
      <c r="A14" s="7" t="s">
        <v>58</v>
      </c>
      <c r="B14" s="7" t="s">
        <v>59</v>
      </c>
      <c r="C14" s="7" t="s">
        <v>42</v>
      </c>
      <c r="D14" s="7">
        <v>2025</v>
      </c>
      <c r="E14" s="7">
        <v>2030</v>
      </c>
      <c r="F14" s="8"/>
      <c r="G14" s="8"/>
      <c r="H14" s="8"/>
      <c r="I14" s="8"/>
      <c r="J14" s="8"/>
      <c r="K14" s="8"/>
      <c r="L14" s="8"/>
      <c r="M14" s="8"/>
      <c r="N14" s="8"/>
      <c r="O14" s="8"/>
      <c r="P14" s="8"/>
      <c r="Q14" s="8"/>
      <c r="R14" s="8"/>
      <c r="S14" s="8"/>
    </row>
    <row r="15" spans="1:19" x14ac:dyDescent="0.25">
      <c r="A15" s="7" t="s">
        <v>60</v>
      </c>
      <c r="B15" s="7" t="s">
        <v>61</v>
      </c>
      <c r="C15" s="7" t="s">
        <v>42</v>
      </c>
      <c r="D15" s="7">
        <v>2025</v>
      </c>
      <c r="E15" s="7">
        <v>2030</v>
      </c>
      <c r="F15" s="8"/>
      <c r="G15" s="8"/>
      <c r="H15" s="8"/>
      <c r="I15" s="8"/>
      <c r="J15" s="8"/>
      <c r="K15" s="8"/>
      <c r="L15" s="8"/>
      <c r="M15" s="8"/>
      <c r="N15" s="8"/>
      <c r="O15" s="8"/>
      <c r="P15" s="8"/>
      <c r="Q15" s="8"/>
      <c r="R15" s="8"/>
      <c r="S15" s="8"/>
    </row>
    <row r="16" spans="1:19" x14ac:dyDescent="0.25">
      <c r="A16" s="7" t="s">
        <v>62</v>
      </c>
      <c r="B16" s="7" t="s">
        <v>63</v>
      </c>
      <c r="C16" s="7" t="s">
        <v>64</v>
      </c>
      <c r="D16" s="7">
        <v>2025</v>
      </c>
      <c r="E16" s="7">
        <v>2030</v>
      </c>
      <c r="F16" s="8"/>
      <c r="G16" s="8"/>
      <c r="H16" s="8"/>
      <c r="I16" s="8"/>
      <c r="J16" s="8"/>
      <c r="K16" s="8"/>
      <c r="L16" s="8"/>
      <c r="M16" s="8"/>
      <c r="N16" s="8"/>
      <c r="O16" s="8"/>
      <c r="P16" s="8"/>
      <c r="Q16" s="8"/>
      <c r="R16" s="8"/>
      <c r="S16" s="8"/>
    </row>
    <row r="17" spans="1:19" x14ac:dyDescent="0.25">
      <c r="A17" s="7" t="s">
        <v>65</v>
      </c>
      <c r="B17" s="7" t="s">
        <v>66</v>
      </c>
      <c r="C17" s="7" t="s">
        <v>64</v>
      </c>
      <c r="D17" s="7">
        <v>2025</v>
      </c>
      <c r="E17" s="7">
        <v>2030</v>
      </c>
      <c r="F17" s="8"/>
      <c r="G17" s="8"/>
      <c r="H17" s="8"/>
      <c r="I17" s="8"/>
      <c r="J17" s="8"/>
      <c r="K17" s="8"/>
      <c r="L17" s="8"/>
      <c r="M17" s="8"/>
      <c r="N17" s="8"/>
      <c r="O17" s="8"/>
      <c r="P17" s="8"/>
      <c r="Q17" s="8"/>
      <c r="R17" s="8"/>
      <c r="S17" s="8"/>
    </row>
    <row r="18" spans="1:19" x14ac:dyDescent="0.25">
      <c r="A18" s="7" t="s">
        <v>67</v>
      </c>
      <c r="B18" s="7" t="s">
        <v>68</v>
      </c>
      <c r="C18" s="7" t="s">
        <v>64</v>
      </c>
      <c r="D18" s="7">
        <v>2025</v>
      </c>
      <c r="E18" s="7">
        <v>2030</v>
      </c>
      <c r="F18" s="8"/>
      <c r="G18" s="8"/>
      <c r="H18" s="8"/>
      <c r="I18" s="8"/>
      <c r="J18" s="8"/>
      <c r="K18" s="8"/>
      <c r="L18" s="8"/>
      <c r="M18" s="8"/>
      <c r="N18" s="8"/>
      <c r="O18" s="8"/>
      <c r="P18" s="8"/>
      <c r="Q18" s="8"/>
      <c r="R18" s="8"/>
      <c r="S18" s="8"/>
    </row>
    <row r="19" spans="1:19" x14ac:dyDescent="0.25">
      <c r="A19" s="7" t="s">
        <v>69</v>
      </c>
      <c r="B19" s="7" t="s">
        <v>70</v>
      </c>
      <c r="C19" s="7" t="s">
        <v>64</v>
      </c>
      <c r="D19" s="7">
        <v>2025</v>
      </c>
      <c r="E19" s="7">
        <v>2030</v>
      </c>
      <c r="F19" s="8"/>
      <c r="G19" s="8"/>
      <c r="H19" s="8"/>
      <c r="I19" s="8"/>
      <c r="J19" s="8"/>
      <c r="K19" s="8"/>
      <c r="L19" s="8"/>
      <c r="M19" s="8"/>
      <c r="N19" s="8"/>
      <c r="O19" s="8"/>
      <c r="P19" s="8"/>
      <c r="Q19" s="8"/>
      <c r="R19" s="8"/>
      <c r="S19" s="8"/>
    </row>
    <row r="20" spans="1:19" x14ac:dyDescent="0.25">
      <c r="A20" s="7" t="s">
        <v>71</v>
      </c>
      <c r="B20" s="7" t="s">
        <v>72</v>
      </c>
      <c r="C20" s="7" t="s">
        <v>64</v>
      </c>
      <c r="D20" s="7">
        <v>2025</v>
      </c>
      <c r="E20" s="7">
        <v>2030</v>
      </c>
      <c r="F20" s="8"/>
      <c r="G20" s="8"/>
      <c r="H20" s="8"/>
      <c r="I20" s="8"/>
      <c r="J20" s="8"/>
      <c r="K20" s="8"/>
      <c r="L20" s="8"/>
      <c r="M20" s="8"/>
      <c r="N20" s="8"/>
      <c r="O20" s="8"/>
      <c r="P20" s="8"/>
      <c r="Q20" s="8"/>
      <c r="R20" s="8"/>
      <c r="S20" s="8"/>
    </row>
    <row r="21" spans="1:19" x14ac:dyDescent="0.25">
      <c r="A21" s="7" t="s">
        <v>73</v>
      </c>
      <c r="B21" s="7" t="s">
        <v>74</v>
      </c>
      <c r="C21" s="7" t="s">
        <v>64</v>
      </c>
      <c r="D21" s="7">
        <v>2025</v>
      </c>
      <c r="E21" s="7">
        <v>2030</v>
      </c>
      <c r="F21" s="8"/>
      <c r="G21" s="8"/>
      <c r="H21" s="8"/>
      <c r="I21" s="8"/>
      <c r="J21" s="8"/>
      <c r="K21" s="8"/>
      <c r="L21" s="8"/>
      <c r="M21" s="8"/>
      <c r="N21" s="8"/>
      <c r="O21" s="8"/>
      <c r="P21" s="8"/>
      <c r="Q21" s="8"/>
      <c r="R21" s="8"/>
      <c r="S21" s="8"/>
    </row>
    <row r="22" spans="1:19" x14ac:dyDescent="0.25">
      <c r="A22" s="7" t="s">
        <v>75</v>
      </c>
      <c r="B22" s="7" t="s">
        <v>76</v>
      </c>
      <c r="C22" s="7" t="s">
        <v>64</v>
      </c>
      <c r="D22" s="7">
        <v>2025</v>
      </c>
      <c r="E22" s="7">
        <v>2030</v>
      </c>
      <c r="F22" s="8"/>
      <c r="G22" s="8"/>
      <c r="H22" s="8"/>
      <c r="I22" s="8"/>
      <c r="J22" s="8"/>
      <c r="K22" s="8"/>
      <c r="L22" s="8"/>
      <c r="M22" s="8"/>
      <c r="N22" s="8"/>
      <c r="O22" s="8"/>
      <c r="P22" s="8"/>
      <c r="Q22" s="8"/>
      <c r="R22" s="8"/>
      <c r="S22" s="8"/>
    </row>
    <row r="23" spans="1:19" x14ac:dyDescent="0.25">
      <c r="A23" s="7" t="s">
        <v>77</v>
      </c>
      <c r="B23" s="7" t="s">
        <v>78</v>
      </c>
      <c r="C23" s="7" t="s">
        <v>64</v>
      </c>
      <c r="D23" s="7">
        <v>2025</v>
      </c>
      <c r="E23" s="7">
        <v>2030</v>
      </c>
      <c r="F23" s="8"/>
      <c r="G23" s="8"/>
      <c r="H23" s="8"/>
      <c r="I23" s="8"/>
      <c r="J23" s="8"/>
      <c r="K23" s="8"/>
      <c r="L23" s="8"/>
      <c r="M23" s="8"/>
      <c r="N23" s="8"/>
      <c r="O23" s="8"/>
      <c r="P23" s="8"/>
      <c r="Q23" s="8"/>
      <c r="R23" s="8"/>
      <c r="S23" s="8"/>
    </row>
    <row r="24" spans="1:19" x14ac:dyDescent="0.25">
      <c r="A24" s="7" t="s">
        <v>79</v>
      </c>
      <c r="B24" s="7" t="s">
        <v>80</v>
      </c>
      <c r="C24" s="7" t="s">
        <v>64</v>
      </c>
      <c r="D24" s="7">
        <v>2025</v>
      </c>
      <c r="E24" s="7">
        <v>2030</v>
      </c>
      <c r="F24" s="8"/>
      <c r="G24" s="8"/>
      <c r="H24" s="8"/>
      <c r="I24" s="8"/>
      <c r="J24" s="8"/>
      <c r="K24" s="8"/>
      <c r="L24" s="8"/>
      <c r="M24" s="8"/>
      <c r="N24" s="8"/>
      <c r="O24" s="8"/>
      <c r="P24" s="8"/>
      <c r="Q24" s="8"/>
      <c r="R24" s="8"/>
      <c r="S24" s="8"/>
    </row>
    <row r="25" spans="1:19" x14ac:dyDescent="0.25">
      <c r="A25" s="7" t="s">
        <v>81</v>
      </c>
      <c r="B25" s="7" t="s">
        <v>82</v>
      </c>
      <c r="C25" s="7" t="s">
        <v>64</v>
      </c>
      <c r="D25" s="7">
        <v>2025</v>
      </c>
      <c r="E25" s="7">
        <v>2030</v>
      </c>
      <c r="F25" s="8"/>
      <c r="G25" s="8"/>
      <c r="H25" s="8"/>
      <c r="I25" s="8"/>
      <c r="J25" s="8"/>
      <c r="K25" s="8"/>
      <c r="L25" s="8"/>
      <c r="M25" s="8"/>
      <c r="N25" s="8"/>
      <c r="O25" s="8"/>
      <c r="P25" s="8"/>
      <c r="Q25" s="8"/>
      <c r="R25" s="8"/>
      <c r="S25" s="8"/>
    </row>
    <row r="26" spans="1:19" x14ac:dyDescent="0.25">
      <c r="A26" s="7" t="s">
        <v>83</v>
      </c>
      <c r="B26" s="7" t="s">
        <v>84</v>
      </c>
      <c r="C26" s="7" t="s">
        <v>64</v>
      </c>
      <c r="D26" s="7">
        <v>2025</v>
      </c>
      <c r="E26" s="7">
        <v>2030</v>
      </c>
      <c r="F26" s="8"/>
      <c r="G26" s="8"/>
      <c r="H26" s="8"/>
      <c r="I26" s="8"/>
      <c r="J26" s="8"/>
      <c r="K26" s="8"/>
      <c r="L26" s="8"/>
      <c r="M26" s="8"/>
      <c r="N26" s="8"/>
      <c r="O26" s="8"/>
      <c r="P26" s="8"/>
      <c r="Q26" s="8"/>
      <c r="R26" s="8"/>
      <c r="S26" s="8"/>
    </row>
    <row r="27" spans="1:19" x14ac:dyDescent="0.25">
      <c r="A27" s="7" t="s">
        <v>85</v>
      </c>
      <c r="B27" s="7" t="s">
        <v>86</v>
      </c>
      <c r="C27" s="7" t="s">
        <v>64</v>
      </c>
      <c r="D27" s="7">
        <v>2025</v>
      </c>
      <c r="E27" s="7">
        <v>2030</v>
      </c>
      <c r="F27" s="8"/>
      <c r="G27" s="8"/>
      <c r="H27" s="8"/>
      <c r="I27" s="8"/>
      <c r="J27" s="8"/>
      <c r="K27" s="8"/>
      <c r="L27" s="8"/>
      <c r="M27" s="8"/>
      <c r="N27" s="8"/>
      <c r="O27" s="8"/>
      <c r="P27" s="8"/>
      <c r="Q27" s="8"/>
      <c r="R27" s="8"/>
      <c r="S27" s="8"/>
    </row>
    <row r="28" spans="1:19" x14ac:dyDescent="0.25">
      <c r="A28" s="7" t="s">
        <v>87</v>
      </c>
      <c r="B28" s="7" t="s">
        <v>88</v>
      </c>
      <c r="C28" s="7" t="s">
        <v>64</v>
      </c>
      <c r="D28" s="7">
        <v>2025</v>
      </c>
      <c r="E28" s="7">
        <v>2030</v>
      </c>
      <c r="F28" s="8"/>
      <c r="G28" s="8"/>
      <c r="H28" s="8"/>
      <c r="I28" s="8"/>
      <c r="J28" s="8"/>
      <c r="K28" s="8"/>
      <c r="L28" s="8"/>
      <c r="M28" s="8"/>
      <c r="N28" s="8"/>
      <c r="O28" s="8"/>
      <c r="P28" s="8"/>
      <c r="Q28" s="8"/>
      <c r="R28" s="8"/>
      <c r="S28" s="8"/>
    </row>
    <row r="29" spans="1:19" x14ac:dyDescent="0.25">
      <c r="A29" s="7" t="s">
        <v>89</v>
      </c>
      <c r="B29" s="7" t="s">
        <v>90</v>
      </c>
      <c r="C29" s="7" t="s">
        <v>64</v>
      </c>
      <c r="D29" s="7">
        <v>2025</v>
      </c>
      <c r="E29" s="7">
        <v>2030</v>
      </c>
      <c r="F29" s="8"/>
      <c r="G29" s="8"/>
      <c r="H29" s="8"/>
      <c r="I29" s="8"/>
      <c r="J29" s="8"/>
      <c r="K29" s="8"/>
      <c r="L29" s="8"/>
      <c r="M29" s="8"/>
      <c r="N29" s="8"/>
      <c r="O29" s="8"/>
      <c r="P29" s="8"/>
      <c r="Q29" s="8"/>
      <c r="R29" s="8"/>
      <c r="S29" s="8"/>
    </row>
    <row r="30" spans="1:19" x14ac:dyDescent="0.25">
      <c r="A30" s="7" t="s">
        <v>91</v>
      </c>
      <c r="B30" s="7" t="s">
        <v>92</v>
      </c>
      <c r="C30" s="7" t="s">
        <v>64</v>
      </c>
      <c r="D30" s="7">
        <v>2025</v>
      </c>
      <c r="E30" s="7">
        <v>2030</v>
      </c>
      <c r="F30" s="8"/>
      <c r="G30" s="8"/>
      <c r="H30" s="8"/>
      <c r="I30" s="8"/>
      <c r="J30" s="8"/>
      <c r="K30" s="8"/>
      <c r="L30" s="8"/>
      <c r="M30" s="8"/>
      <c r="N30" s="8"/>
      <c r="O30" s="8"/>
      <c r="P30" s="8"/>
      <c r="Q30" s="8"/>
      <c r="R30" s="8"/>
      <c r="S30" s="8"/>
    </row>
    <row r="31" spans="1:19" x14ac:dyDescent="0.25">
      <c r="A31" s="7" t="s">
        <v>93</v>
      </c>
      <c r="B31" s="7" t="s">
        <v>94</v>
      </c>
      <c r="C31" s="7" t="s">
        <v>64</v>
      </c>
      <c r="D31" s="7">
        <v>2025</v>
      </c>
      <c r="E31" s="7">
        <v>2030</v>
      </c>
      <c r="F31" s="8"/>
      <c r="G31" s="8"/>
      <c r="H31" s="8"/>
      <c r="I31" s="8"/>
      <c r="J31" s="8"/>
      <c r="K31" s="8"/>
      <c r="L31" s="8"/>
      <c r="M31" s="8"/>
      <c r="N31" s="8"/>
      <c r="O31" s="8"/>
      <c r="P31" s="8"/>
      <c r="Q31" s="8"/>
      <c r="R31" s="8"/>
      <c r="S31" s="8"/>
    </row>
    <row r="32" spans="1:19" x14ac:dyDescent="0.25">
      <c r="A32" s="7" t="s">
        <v>95</v>
      </c>
      <c r="B32" s="7" t="s">
        <v>64</v>
      </c>
      <c r="C32" s="7" t="s">
        <v>64</v>
      </c>
      <c r="D32" s="7">
        <v>2025</v>
      </c>
      <c r="E32" s="7">
        <v>2030</v>
      </c>
      <c r="F32" s="8"/>
      <c r="G32" s="8"/>
      <c r="H32" s="8"/>
      <c r="I32" s="8"/>
      <c r="J32" s="8"/>
      <c r="K32" s="8"/>
      <c r="L32" s="8"/>
      <c r="M32" s="8"/>
      <c r="N32" s="8"/>
      <c r="O32" s="8"/>
      <c r="P32" s="8"/>
      <c r="Q32" s="8"/>
      <c r="R32" s="8"/>
      <c r="S32" s="8"/>
    </row>
    <row r="33" spans="1:19" x14ac:dyDescent="0.25">
      <c r="A33" s="7" t="s">
        <v>96</v>
      </c>
      <c r="B33" s="7" t="s">
        <v>97</v>
      </c>
      <c r="C33" s="7" t="s">
        <v>64</v>
      </c>
      <c r="D33" s="7">
        <v>2025</v>
      </c>
      <c r="E33" s="7">
        <v>2030</v>
      </c>
      <c r="F33" s="8"/>
      <c r="G33" s="8"/>
      <c r="H33" s="8"/>
      <c r="I33" s="8"/>
      <c r="J33" s="8"/>
      <c r="K33" s="8"/>
      <c r="L33" s="8"/>
      <c r="M33" s="8"/>
      <c r="N33" s="8"/>
      <c r="O33" s="8"/>
      <c r="P33" s="8"/>
      <c r="Q33" s="8"/>
      <c r="R33" s="8"/>
      <c r="S33" s="8"/>
    </row>
  </sheetData>
  <mergeCells count="1">
    <mergeCell ref="A1:S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workbookViewId="0">
      <selection activeCell="B31" sqref="B31"/>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64.7109375" bestFit="1" customWidth="1"/>
  </cols>
  <sheetData>
    <row r="1" spans="1:7" ht="16.5" x14ac:dyDescent="0.25">
      <c r="A1" s="1" t="s">
        <v>100</v>
      </c>
    </row>
    <row r="2" spans="1:7" ht="62.1" customHeight="1" x14ac:dyDescent="0.25">
      <c r="A2" s="20" t="s">
        <v>101</v>
      </c>
      <c r="B2" s="19"/>
      <c r="C2" s="19"/>
      <c r="D2" s="19"/>
      <c r="E2" s="19"/>
      <c r="F2" s="19"/>
    </row>
    <row r="3" spans="1:7" ht="25.5" x14ac:dyDescent="0.25">
      <c r="A3" s="9" t="s">
        <v>102</v>
      </c>
      <c r="B3" s="9" t="s">
        <v>103</v>
      </c>
      <c r="C3" s="9" t="s">
        <v>104</v>
      </c>
      <c r="D3" s="9" t="s">
        <v>105</v>
      </c>
      <c r="E3" s="9" t="s">
        <v>106</v>
      </c>
      <c r="F3" s="9" t="s">
        <v>107</v>
      </c>
      <c r="G3" s="24" t="s">
        <v>172</v>
      </c>
    </row>
    <row r="4" spans="1:7" ht="25.5" x14ac:dyDescent="0.25">
      <c r="A4" s="10" t="s">
        <v>6</v>
      </c>
      <c r="B4" s="10" t="s">
        <v>108</v>
      </c>
      <c r="C4" s="10" t="s">
        <v>109</v>
      </c>
      <c r="D4" s="10" t="s">
        <v>110</v>
      </c>
      <c r="E4" s="10">
        <v>50</v>
      </c>
      <c r="F4" s="11">
        <v>50</v>
      </c>
      <c r="G4" s="23" t="s">
        <v>168</v>
      </c>
    </row>
    <row r="5" spans="1:7" x14ac:dyDescent="0.25">
      <c r="A5" s="12" t="s">
        <v>7</v>
      </c>
      <c r="B5" s="12" t="s">
        <v>111</v>
      </c>
      <c r="C5" s="12" t="s">
        <v>109</v>
      </c>
      <c r="D5" s="12"/>
      <c r="E5" s="12"/>
      <c r="F5" s="11"/>
      <c r="G5" s="22"/>
    </row>
    <row r="6" spans="1:7" x14ac:dyDescent="0.25">
      <c r="A6" s="10" t="s">
        <v>8</v>
      </c>
      <c r="B6" s="10" t="s">
        <v>112</v>
      </c>
      <c r="C6" s="10" t="s">
        <v>109</v>
      </c>
      <c r="D6" s="10" t="s">
        <v>110</v>
      </c>
      <c r="E6" s="10">
        <v>5</v>
      </c>
      <c r="F6" s="11">
        <v>5</v>
      </c>
      <c r="G6" s="23" t="s">
        <v>168</v>
      </c>
    </row>
    <row r="7" spans="1:7" x14ac:dyDescent="0.25">
      <c r="A7" s="10" t="s">
        <v>9</v>
      </c>
      <c r="B7" s="10" t="s">
        <v>113</v>
      </c>
      <c r="C7" s="10" t="s">
        <v>109</v>
      </c>
      <c r="D7" s="10" t="s">
        <v>110</v>
      </c>
      <c r="E7" s="10">
        <v>10</v>
      </c>
      <c r="F7" s="11">
        <v>10</v>
      </c>
      <c r="G7" s="23" t="s">
        <v>168</v>
      </c>
    </row>
    <row r="8" spans="1:7" ht="38.25" x14ac:dyDescent="0.25">
      <c r="A8" s="10" t="s">
        <v>10</v>
      </c>
      <c r="B8" s="10" t="s">
        <v>114</v>
      </c>
      <c r="C8" s="10" t="s">
        <v>109</v>
      </c>
      <c r="D8" s="10" t="s">
        <v>110</v>
      </c>
      <c r="E8" s="10">
        <v>35</v>
      </c>
      <c r="F8" s="11">
        <v>35</v>
      </c>
      <c r="G8" s="23" t="s">
        <v>173</v>
      </c>
    </row>
    <row r="9" spans="1:7" ht="25.5" x14ac:dyDescent="0.25">
      <c r="A9" s="10" t="s">
        <v>11</v>
      </c>
      <c r="B9" s="10" t="s">
        <v>115</v>
      </c>
      <c r="C9" s="10" t="s">
        <v>116</v>
      </c>
      <c r="D9" s="10" t="s">
        <v>110</v>
      </c>
      <c r="E9" s="10">
        <v>10</v>
      </c>
      <c r="F9" s="11">
        <v>10</v>
      </c>
      <c r="G9" s="21" t="s">
        <v>170</v>
      </c>
    </row>
    <row r="10" spans="1:7" ht="25.5" x14ac:dyDescent="0.25">
      <c r="A10" s="10" t="s">
        <v>12</v>
      </c>
      <c r="B10" s="10" t="s">
        <v>117</v>
      </c>
      <c r="C10" s="10" t="s">
        <v>116</v>
      </c>
      <c r="D10" s="10" t="s">
        <v>110</v>
      </c>
      <c r="E10" s="10">
        <v>10</v>
      </c>
      <c r="F10" s="11">
        <v>10</v>
      </c>
      <c r="G10" s="21" t="s">
        <v>170</v>
      </c>
    </row>
    <row r="11" spans="1:7" ht="25.5" x14ac:dyDescent="0.25">
      <c r="A11" s="10" t="s">
        <v>13</v>
      </c>
      <c r="B11" s="10" t="s">
        <v>118</v>
      </c>
      <c r="C11" s="10" t="s">
        <v>116</v>
      </c>
      <c r="D11" s="10" t="s">
        <v>110</v>
      </c>
      <c r="E11" s="10">
        <v>40</v>
      </c>
      <c r="F11" s="11">
        <v>40</v>
      </c>
      <c r="G11" s="23" t="s">
        <v>171</v>
      </c>
    </row>
    <row r="12" spans="1:7" ht="25.5" x14ac:dyDescent="0.25">
      <c r="A12" s="10" t="s">
        <v>14</v>
      </c>
      <c r="B12" s="10" t="s">
        <v>119</v>
      </c>
      <c r="C12" s="10" t="s">
        <v>116</v>
      </c>
      <c r="D12" s="10" t="s">
        <v>110</v>
      </c>
      <c r="E12" s="10">
        <v>10</v>
      </c>
      <c r="F12" s="11">
        <v>10</v>
      </c>
      <c r="G12" s="21" t="s">
        <v>170</v>
      </c>
    </row>
    <row r="13" spans="1:7" ht="25.5" x14ac:dyDescent="0.25">
      <c r="A13" s="10" t="s">
        <v>15</v>
      </c>
      <c r="B13" s="10" t="s">
        <v>120</v>
      </c>
      <c r="C13" s="10" t="s">
        <v>116</v>
      </c>
      <c r="D13" s="10" t="s">
        <v>110</v>
      </c>
      <c r="E13" s="10">
        <v>10</v>
      </c>
      <c r="F13" s="11">
        <v>10</v>
      </c>
      <c r="G13" s="21" t="s">
        <v>170</v>
      </c>
    </row>
    <row r="14" spans="1:7" x14ac:dyDescent="0.25">
      <c r="A14" s="10" t="s">
        <v>16</v>
      </c>
      <c r="B14" s="10" t="s">
        <v>121</v>
      </c>
      <c r="C14" s="10" t="s">
        <v>116</v>
      </c>
      <c r="D14" s="10" t="s">
        <v>110</v>
      </c>
      <c r="E14" s="10">
        <v>20</v>
      </c>
      <c r="F14" s="11">
        <v>20</v>
      </c>
      <c r="G14" s="23" t="s">
        <v>169</v>
      </c>
    </row>
    <row r="15" spans="1:7" x14ac:dyDescent="0.25">
      <c r="A15" s="12" t="s">
        <v>17</v>
      </c>
      <c r="B15" s="12" t="s">
        <v>122</v>
      </c>
      <c r="C15" s="12" t="s">
        <v>116</v>
      </c>
      <c r="D15" s="12"/>
      <c r="E15" s="12"/>
      <c r="F15" s="11"/>
      <c r="G15" s="22"/>
    </row>
    <row r="16" spans="1:7" x14ac:dyDescent="0.25">
      <c r="G16" s="22"/>
    </row>
    <row r="17" spans="1:6" x14ac:dyDescent="0.25">
      <c r="A17" s="13" t="s">
        <v>123</v>
      </c>
      <c r="F17" s="14">
        <f>F4+F5+F6+F7+F8</f>
        <v>100</v>
      </c>
    </row>
    <row r="18" spans="1:6" x14ac:dyDescent="0.25">
      <c r="A18" s="13" t="s">
        <v>124</v>
      </c>
      <c r="F18" s="14">
        <f>F9+F10+F11+F12+F13+F14+F15</f>
        <v>100</v>
      </c>
    </row>
  </sheetData>
  <mergeCells count="1">
    <mergeCell ref="A2:F2"/>
  </mergeCells>
  <dataValidations count="1">
    <dataValidation type="decimal" allowBlank="1" errorTitle="Invalid weight" error="Weight must be between 0 and 100." sqref="F4 F5 F6 F7 F8 F9 F10 F11 F12 F13 F14 F15"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125</v>
      </c>
    </row>
    <row r="2" spans="1:1" x14ac:dyDescent="0.25">
      <c r="A2" s="15" t="s">
        <v>126</v>
      </c>
    </row>
    <row r="4" spans="1:1" x14ac:dyDescent="0.25">
      <c r="A4" s="16" t="s">
        <v>127</v>
      </c>
    </row>
    <row r="5" spans="1:1" x14ac:dyDescent="0.25">
      <c r="A5" s="16" t="s">
        <v>128</v>
      </c>
    </row>
    <row r="6" spans="1:1" x14ac:dyDescent="0.25">
      <c r="A6" s="16" t="s">
        <v>129</v>
      </c>
    </row>
    <row r="7" spans="1:1" x14ac:dyDescent="0.25">
      <c r="A7" s="17" t="s">
        <v>130</v>
      </c>
    </row>
    <row r="8" spans="1:1" x14ac:dyDescent="0.25">
      <c r="A8" s="16" t="s">
        <v>131</v>
      </c>
    </row>
    <row r="9" spans="1:1" x14ac:dyDescent="0.25">
      <c r="A9" s="16" t="s">
        <v>132</v>
      </c>
    </row>
    <row r="10" spans="1:1" x14ac:dyDescent="0.25">
      <c r="A10" s="16" t="s">
        <v>133</v>
      </c>
    </row>
    <row r="11" spans="1:1" x14ac:dyDescent="0.25">
      <c r="A11" s="16" t="s">
        <v>134</v>
      </c>
    </row>
    <row r="12" spans="1:1" x14ac:dyDescent="0.25">
      <c r="A12" s="16" t="s">
        <v>135</v>
      </c>
    </row>
    <row r="14" spans="1:1" x14ac:dyDescent="0.25">
      <c r="A14" s="17" t="s">
        <v>136</v>
      </c>
    </row>
    <row r="16" spans="1:1" ht="16.5" x14ac:dyDescent="0.25">
      <c r="A16" s="1" t="s">
        <v>137</v>
      </c>
    </row>
    <row r="17" spans="1:6" x14ac:dyDescent="0.25">
      <c r="A17" s="2" t="s">
        <v>138</v>
      </c>
      <c r="B17" s="2" t="s">
        <v>103</v>
      </c>
      <c r="C17" s="2" t="s">
        <v>104</v>
      </c>
      <c r="D17" s="2" t="s">
        <v>139</v>
      </c>
      <c r="E17" s="2" t="s">
        <v>106</v>
      </c>
      <c r="F17" s="2" t="s">
        <v>140</v>
      </c>
    </row>
    <row r="18" spans="1:6" ht="25.5" x14ac:dyDescent="0.25">
      <c r="A18" s="10" t="s">
        <v>6</v>
      </c>
      <c r="B18" s="10" t="s">
        <v>108</v>
      </c>
      <c r="C18" s="10" t="s">
        <v>109</v>
      </c>
      <c r="D18" s="10" t="s">
        <v>110</v>
      </c>
      <c r="E18" s="10">
        <v>50</v>
      </c>
      <c r="F18" s="10" t="s">
        <v>141</v>
      </c>
    </row>
    <row r="19" spans="1:6" x14ac:dyDescent="0.25">
      <c r="A19" s="10" t="s">
        <v>7</v>
      </c>
      <c r="B19" s="10" t="s">
        <v>111</v>
      </c>
      <c r="C19" s="10" t="s">
        <v>109</v>
      </c>
      <c r="D19" s="10"/>
      <c r="E19" s="10"/>
      <c r="F19" s="10" t="s">
        <v>141</v>
      </c>
    </row>
    <row r="20" spans="1:6" x14ac:dyDescent="0.25">
      <c r="A20" s="10" t="s">
        <v>8</v>
      </c>
      <c r="B20" s="10" t="s">
        <v>112</v>
      </c>
      <c r="C20" s="10" t="s">
        <v>109</v>
      </c>
      <c r="D20" s="10" t="s">
        <v>110</v>
      </c>
      <c r="E20" s="10">
        <v>5</v>
      </c>
      <c r="F20" s="10" t="s">
        <v>141</v>
      </c>
    </row>
    <row r="21" spans="1:6" x14ac:dyDescent="0.25">
      <c r="A21" s="10" t="s">
        <v>9</v>
      </c>
      <c r="B21" s="10" t="s">
        <v>113</v>
      </c>
      <c r="C21" s="10" t="s">
        <v>109</v>
      </c>
      <c r="D21" s="10" t="s">
        <v>110</v>
      </c>
      <c r="E21" s="10">
        <v>10</v>
      </c>
      <c r="F21" s="10" t="s">
        <v>141</v>
      </c>
    </row>
    <row r="22" spans="1:6" ht="38.25" x14ac:dyDescent="0.25">
      <c r="A22" s="10" t="s">
        <v>10</v>
      </c>
      <c r="B22" s="10" t="s">
        <v>114</v>
      </c>
      <c r="C22" s="10" t="s">
        <v>109</v>
      </c>
      <c r="D22" s="10" t="s">
        <v>110</v>
      </c>
      <c r="E22" s="10">
        <v>35</v>
      </c>
      <c r="F22" s="10" t="s">
        <v>142</v>
      </c>
    </row>
    <row r="23" spans="1:6" ht="25.5" x14ac:dyDescent="0.25">
      <c r="A23" s="10" t="s">
        <v>11</v>
      </c>
      <c r="B23" s="10" t="s">
        <v>115</v>
      </c>
      <c r="C23" s="10" t="s">
        <v>116</v>
      </c>
      <c r="D23" s="10" t="s">
        <v>110</v>
      </c>
      <c r="E23" s="10">
        <v>10</v>
      </c>
      <c r="F23" s="10" t="s">
        <v>142</v>
      </c>
    </row>
    <row r="24" spans="1:6" ht="25.5" x14ac:dyDescent="0.25">
      <c r="A24" s="10" t="s">
        <v>12</v>
      </c>
      <c r="B24" s="10" t="s">
        <v>117</v>
      </c>
      <c r="C24" s="10" t="s">
        <v>116</v>
      </c>
      <c r="D24" s="10" t="s">
        <v>110</v>
      </c>
      <c r="E24" s="10">
        <v>10</v>
      </c>
      <c r="F24" s="10" t="s">
        <v>142</v>
      </c>
    </row>
    <row r="25" spans="1:6" ht="25.5" x14ac:dyDescent="0.25">
      <c r="A25" s="10" t="s">
        <v>13</v>
      </c>
      <c r="B25" s="10" t="s">
        <v>118</v>
      </c>
      <c r="C25" s="10" t="s">
        <v>116</v>
      </c>
      <c r="D25" s="10" t="s">
        <v>110</v>
      </c>
      <c r="E25" s="10">
        <v>40</v>
      </c>
      <c r="F25" s="10" t="s">
        <v>142</v>
      </c>
    </row>
    <row r="26" spans="1:6" ht="25.5" x14ac:dyDescent="0.25">
      <c r="A26" s="10" t="s">
        <v>14</v>
      </c>
      <c r="B26" s="10" t="s">
        <v>119</v>
      </c>
      <c r="C26" s="10" t="s">
        <v>116</v>
      </c>
      <c r="D26" s="10" t="s">
        <v>110</v>
      </c>
      <c r="E26" s="10">
        <v>10</v>
      </c>
      <c r="F26" s="10" t="s">
        <v>142</v>
      </c>
    </row>
    <row r="27" spans="1:6" ht="25.5" x14ac:dyDescent="0.25">
      <c r="A27" s="10" t="s">
        <v>15</v>
      </c>
      <c r="B27" s="10" t="s">
        <v>120</v>
      </c>
      <c r="C27" s="10" t="s">
        <v>116</v>
      </c>
      <c r="D27" s="10" t="s">
        <v>110</v>
      </c>
      <c r="E27" s="10">
        <v>10</v>
      </c>
      <c r="F27" s="10" t="s">
        <v>142</v>
      </c>
    </row>
    <row r="28" spans="1:6" x14ac:dyDescent="0.25">
      <c r="A28" s="10" t="s">
        <v>16</v>
      </c>
      <c r="B28" s="10" t="s">
        <v>121</v>
      </c>
      <c r="C28" s="10" t="s">
        <v>116</v>
      </c>
      <c r="D28" s="10" t="s">
        <v>110</v>
      </c>
      <c r="E28" s="10">
        <v>20</v>
      </c>
      <c r="F28" s="10" t="s">
        <v>142</v>
      </c>
    </row>
    <row r="29" spans="1:6" x14ac:dyDescent="0.25">
      <c r="A29" s="10" t="s">
        <v>17</v>
      </c>
      <c r="B29" s="10" t="s">
        <v>122</v>
      </c>
      <c r="C29" s="10" t="s">
        <v>116</v>
      </c>
      <c r="D29" s="10"/>
      <c r="E29" s="10"/>
      <c r="F29" s="10" t="s">
        <v>142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143</v>
      </c>
      <c r="B1" s="16" t="s">
        <v>144</v>
      </c>
    </row>
    <row r="2" spans="1:2" x14ac:dyDescent="0.25">
      <c r="A2" s="16" t="s">
        <v>145</v>
      </c>
      <c r="B2" s="16">
        <v>1</v>
      </c>
    </row>
    <row r="3" spans="1:2" x14ac:dyDescent="0.25">
      <c r="A3" s="16" t="s">
        <v>146</v>
      </c>
      <c r="B3" s="16" t="s">
        <v>147</v>
      </c>
    </row>
    <row r="4" spans="1:2" x14ac:dyDescent="0.25">
      <c r="A4" s="16" t="s">
        <v>148</v>
      </c>
      <c r="B4" s="16" t="s">
        <v>149</v>
      </c>
    </row>
    <row r="5" spans="1:2" x14ac:dyDescent="0.25">
      <c r="A5" s="16" t="s">
        <v>150</v>
      </c>
      <c r="B5" s="16"/>
    </row>
    <row r="6" spans="1:2" x14ac:dyDescent="0.25">
      <c r="A6" s="16" t="s">
        <v>109</v>
      </c>
      <c r="B6" s="16" t="s">
        <v>151</v>
      </c>
    </row>
    <row r="7" spans="1:2" x14ac:dyDescent="0.25">
      <c r="A7" s="16" t="s">
        <v>152</v>
      </c>
      <c r="B7" s="16" t="s">
        <v>153</v>
      </c>
    </row>
    <row r="8" spans="1:2" x14ac:dyDescent="0.25">
      <c r="A8" s="16" t="s">
        <v>154</v>
      </c>
      <c r="B8" s="16" t="s">
        <v>155</v>
      </c>
    </row>
    <row r="9" spans="1:2" x14ac:dyDescent="0.25">
      <c r="A9" s="16" t="s">
        <v>156</v>
      </c>
      <c r="B9" s="16" t="s">
        <v>157</v>
      </c>
    </row>
    <row r="10" spans="1:2" x14ac:dyDescent="0.25">
      <c r="A10" s="16" t="s">
        <v>158</v>
      </c>
      <c r="B10" s="16" t="s">
        <v>2</v>
      </c>
    </row>
    <row r="11" spans="1:2" x14ac:dyDescent="0.25">
      <c r="A11" s="16" t="s">
        <v>159</v>
      </c>
      <c r="B11" s="16" t="s">
        <v>160</v>
      </c>
    </row>
    <row r="12" spans="1:2" x14ac:dyDescent="0.25">
      <c r="A12" s="16" t="s">
        <v>161</v>
      </c>
      <c r="B12" s="16">
        <v>12</v>
      </c>
    </row>
    <row r="13" spans="1:2" x14ac:dyDescent="0.25">
      <c r="A13" s="16" t="s">
        <v>162</v>
      </c>
      <c r="B13" s="16" t="s">
        <v>163</v>
      </c>
    </row>
    <row r="14" spans="1:2" x14ac:dyDescent="0.25">
      <c r="A14" s="16" t="s">
        <v>164</v>
      </c>
      <c r="B14" s="16" t="s">
        <v>165</v>
      </c>
    </row>
    <row r="15" spans="1:2" x14ac:dyDescent="0.25">
      <c r="A15" s="16" t="s">
        <v>166</v>
      </c>
      <c r="B15" s="16" t="s">
        <v>167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2026-08-29T10:28:24Z</dcterms:created>
  <dcterms:modified xsi:type="dcterms:W3CDTF">2026-09-08T10:11:49Z</dcterms:modified>
</cp:coreProperties>
</file>