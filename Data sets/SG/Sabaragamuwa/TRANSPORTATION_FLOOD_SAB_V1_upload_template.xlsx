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abaragamuwa\"/>
    </mc:Choice>
  </mc:AlternateContent>
  <xr:revisionPtr revIDLastSave="0" documentId="13_ncr:1_{A840306C-652B-424F-AA62-CC5D3AF899FB}"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0" i="3" l="1"/>
  <c r="F19" i="3"/>
</calcChain>
</file>

<file path=xl/sharedStrings.xml><?xml version="1.0" encoding="utf-8"?>
<sst xmlns="http://schemas.openxmlformats.org/spreadsheetml/2006/main" count="455" uniqueCount="188">
  <si>
    <t>RAW DATA 2020-2025 - Transportation Sector - Flood - Sabaragamuwa Province   [profile TRANSPORTATION_FLOOD_SAB_V1]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</si>
  <si>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</si>
  <si>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</si>
  <si>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</si>
  <si>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</si>
  <si>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</si>
  <si>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</si>
  <si>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</si>
  <si>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</si>
  <si>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</si>
  <si>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</si>
  <si>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FLOOD_AFFECTED_MAIN_ROAD_LENGTH</t>
  </si>
  <si>
    <t>FLOOD_AFFECTED_SECONDARY_ROAD_LENGTH</t>
  </si>
  <si>
    <t>FLOOD_AFFECTED_TRACK_LENGTH</t>
  </si>
  <si>
    <t>HH_WITH_NO_PROPER_ACCESS_ROAD</t>
  </si>
  <si>
    <t>MAIN_ROAD_LENGTH</t>
  </si>
  <si>
    <t>RAILWAY_LENGTH</t>
  </si>
  <si>
    <t>ROAD_DENSITY</t>
  </si>
  <si>
    <t>SECONDARY_ROAD_LENGTH</t>
  </si>
  <si>
    <t>TRACK_LENGTH</t>
  </si>
  <si>
    <t>DATA_SOURCE</t>
  </si>
  <si>
    <t>NOTES</t>
  </si>
  <si>
    <t>do not edit</t>
  </si>
  <si>
    <t>hazard: No. of Flood events - 1974 to 2023 (1974-2004, 25%, 2005 -2023, 75%)
&gt;&gt; fixed window - same value on both period tabs</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</si>
  <si>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</si>
  <si>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</si>
  <si>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</si>
  <si>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hazard: Very wet days (95th percentile) and 3 day cumulative rain fall (out of 35 - 40% for very wet days and 60% for 3 day cumulative respectively)
&gt;&gt; enter a TYPICAL YEAR (not a total)</t>
  </si>
  <si>
    <t>exposure: Flood affected main road length
&gt;&gt; enter a TYPICAL YEAR (not a total)</t>
  </si>
  <si>
    <t>exposure: Flood affected Secondary road length
&gt;&gt; enter a TYPICAL YEAR (not a total)</t>
  </si>
  <si>
    <t>exposure: Flood affected Track length
&gt;&gt; enter a TYPICAL YEAR (not a total)</t>
  </si>
  <si>
    <t>exposure: HH with no proper access road
&gt;&gt; enter a TYPICAL YEAR (not a total)</t>
  </si>
  <si>
    <t>exposure: Total main road length
&gt;&gt; enter a TYPICAL YEAR (not a total)</t>
  </si>
  <si>
    <t>exposure: Total railway length
&gt;&gt; enter a TYPICAL YEAR (not a total)</t>
  </si>
  <si>
    <t>exposure: Road Density
&gt;&gt; enter a TYPICAL YEAR (not a total)</t>
  </si>
  <si>
    <t>exposure: Total Secondary road length
&gt;&gt; enter a TYPICAL YEAR (not a total)</t>
  </si>
  <si>
    <t>exposure: Total Track length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</si>
  <si>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</si>
  <si>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</si>
  <si>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</si>
  <si>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</si>
  <si>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</si>
  <si>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</si>
  <si>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</si>
  <si>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</si>
  <si>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</si>
  <si>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</si>
  <si>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</si>
  <si>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</si>
  <si>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</si>
  <si>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</si>
  <si>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</si>
  <si>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</si>
  <si>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</si>
  <si>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</si>
  <si>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</si>
  <si>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</si>
  <si>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</si>
  <si>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</si>
  <si>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</si>
  <si>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</si>
  <si>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</si>
  <si>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</si>
  <si>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</si>
  <si>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</si>
  <si>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</si>
  <si>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</si>
  <si>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</si>
  <si>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</si>
  <si>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</si>
  <si>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</si>
  <si>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</si>
  <si>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</si>
  <si>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</si>
  <si>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</si>
  <si>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</si>
  <si>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</si>
  <si>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</si>
  <si>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</si>
  <si>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</si>
  <si>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</si>
  <si>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</si>
  <si>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</si>
  <si>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</si>
  <si>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</si>
  <si>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</si>
  <si>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</si>
  <si>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</si>
  <si>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</si>
  <si>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</si>
  <si>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</si>
  <si>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</si>
  <si>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</si>
  <si>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</si>
  <si>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</si>
  <si>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</si>
  <si>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</si>
  <si>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</si>
  <si>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</si>
  <si>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</si>
  <si>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</si>
  <si>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</si>
  <si>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Transportation Sector - Flood - Sabaragamuwa Province   [profile TRANSPORTATION_FLOOD_SAB_V1]   |   Enter RAW values only - the system normalizes.</t>
  </si>
  <si>
    <t>Dept. report 2025-2030</t>
  </si>
  <si>
    <t>WEIGHTS - Transportation Sector - Flood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</si>
  <si>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</si>
  <si>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</si>
  <si>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</si>
  <si>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</si>
  <si>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</si>
  <si>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</si>
  <si>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</si>
  <si>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</si>
  <si>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</si>
  <si>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</si>
  <si>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</si>
  <si>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</si>
  <si>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</si>
  <si>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</si>
  <si>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Flood affected main road length</t>
  </si>
  <si>
    <t>exposure</t>
  </si>
  <si>
    <t>Flood affected Secondary road length</t>
  </si>
  <si>
    <t>Flood affected Track length</t>
  </si>
  <si>
    <t>HH with no proper access road</t>
  </si>
  <si>
    <t>Total main road length</t>
  </si>
  <si>
    <t>Total railway length</t>
  </si>
  <si>
    <t>Road Density</t>
  </si>
  <si>
    <t>Total Secondary road length</t>
  </si>
  <si>
    <t>Total Track length</t>
  </si>
  <si>
    <t>SUM - hazard (must equal 100)</t>
  </si>
  <si>
    <t>SUM - exposure (must equal 100)</t>
  </si>
  <si>
    <t>How to fill this template</t>
  </si>
  <si>
    <t>Profile: TRANSPORTATION_FLOOD_SAB_V1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</si>
  <si>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</si>
  <si>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</si>
  <si>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</si>
  <si>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</si>
  <si>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</si>
  <si>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</si>
  <si>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</si>
  <si>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</si>
  <si>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</si>
  <si>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</si>
  <si>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</si>
  <si>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</si>
  <si>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</si>
  <si>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</si>
  <si>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</si>
  <si>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</si>
  <si>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</si>
  <si>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TRANSPORTATION_FLOOD_SAB_V1</t>
  </si>
  <si>
    <t>version</t>
  </si>
  <si>
    <t>province</t>
  </si>
  <si>
    <t>Sabaragamuwa</t>
  </si>
  <si>
    <t>main_sector</t>
  </si>
  <si>
    <t>Transportation Sector</t>
  </si>
  <si>
    <t>subsector</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</si>
  <si>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</si>
  <si>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</si>
  <si>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</si>
  <si>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</si>
  <si>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</si>
  <si>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</si>
  <si>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</si>
  <si>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</si>
  <si>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</si>
  <si>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</si>
  <si>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</si>
  <si>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</si>
  <si>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</si>
  <si>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</si>
  <si>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FLOOD_AFFECTED_MAIN_ROAD_LENGTH=average|FLOOD_AFFECTED_SECONDARY_ROAD_LENGTH=average|FLOOD_AFFECTED_TRACK_LENGTH=average|HH_WITH_NO_PROPER_ACCESS_ROAD=average|MAIN_ROAD_LENGTH=average|RAILWAY_LENGTH=average|ROAD_DENSITY=average|SECONDARY_ROAD_LENGTH=average|TRACK_LENGTH=average</t>
  </si>
  <si>
    <t>expected_columns</t>
  </si>
  <si>
    <t>DS_CODE|DS_DIVISION|DISTRICT|YEAR_START|YEAR_END|FLOOD_EVENTS_1974_TO_2023|FLOOD_HAZARD_INDEX|LIGHTNING_INCIDENTS_1974_TO_2023|STRONG_WIND_EVENTS_1978_TO_2023|VERY_WET_DAYS|FLOOD_AFFECTED_MAIN_ROAD_LENGTH|FLOOD_AFFECTED_SECONDARY_ROAD_LENGTH|FLOOD_AFFECTED_TRACK_LENGTH|HH_WITH_NO_PROPER_ACCESS_ROAD|MAIN_ROAD_LENGTH|RAILWAY_LENGTH|ROAD_DENSITY|SECONDARY_ROAD_LENGTH|TRACK_LENGTH|DATA_SOURCE|NOTES</t>
  </si>
  <si>
    <t>Disaster Management Centre, 2023</t>
  </si>
  <si>
    <t>Ministry of Housing, 2016</t>
  </si>
  <si>
    <t>source</t>
  </si>
  <si>
    <t>Developed by Project (Based on Department of Meteorology, 2023)</t>
  </si>
  <si>
    <t>Calculated by Project (Based on Disaster Management Centre, Irrigation Department, Department of Survey)</t>
  </si>
  <si>
    <t>Calculated by Project (Based on Department of Survey, Open Street Map)</t>
  </si>
  <si>
    <t>Calculated by Project (Department of Survey)</t>
  </si>
  <si>
    <t>Total Track length (Km)</t>
  </si>
  <si>
    <t>Total Secondary road length (Km)</t>
  </si>
  <si>
    <t>Total railway length (Km)</t>
  </si>
  <si>
    <t>Total main road length (Km)</t>
  </si>
  <si>
    <t>Flood affected Track length (Km)</t>
  </si>
  <si>
    <t>Flood affected Secondary road length (Km)</t>
  </si>
  <si>
    <t>Flood affected main road length (Km)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</si>
</sst>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26"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5">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1" fillId="0" borderId="0" xfId="0" applyFont="1"/>
    <xf numFmtId="0" fontId="0" fillId="0" borderId="0" xfId="0"/>
    <xf numFmtId="0" fontId="3" fillId="0" borderId="0" xfId="0" applyFont="1" applyAlignment="1">
      <alignment vertical="top" wrapText="1"/>
    </xf>
    <xf numFmtId="0" fontId="25" fillId="0" borderId="0" xfId="0" applyFont="1" applyBorder="1" applyAlignment="1">
      <alignment vertical="top"/>
    </xf>
    <xf numFmtId="0" fontId="2" fillId="2" borderId="11" xfId="0" applyFont="1" applyFill="1" applyBorder="1" applyAlignment="1">
      <alignment vertical="top" wrapText="1"/>
    </xf>
    <xf numFmtId="165" fontId="0" fillId="6" borderId="1" xfId="0" applyNumberFormat="1" applyFill="1" applyBorder="1" applyProtection="1">
      <protection locked="0"/>
    </xf>
    <xf numFmtId="2" fontId="0" fillId="6" borderId="1" xfId="0" applyNumberFormat="1" applyFill="1" applyBorder="1" applyProtection="1">
      <protection locked="0"/>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3"/>
  <sheetViews>
    <sheetView tabSelected="1" workbookViewId="0">
      <pane xSplit="5" ySplit="3" topLeftCell="J4" activePane="bottomRight" state="frozen"/>
      <selection pane="topRight"/>
      <selection pane="bottomLeft"/>
      <selection pane="bottomRight" activeCell="F5" sqref="F5"/>
    </sheetView>
  </sheetViews>
  <sheetFormatPr defaultRowHeight="15" x14ac:dyDescent="0.25"/>
  <cols>
    <col min="1" max="1" width="14" customWidth="1"/>
    <col min="2" max="2" width="34" customWidth="1"/>
    <col min="3" max="3" width="16" customWidth="1"/>
    <col min="4" max="5" width="11" customWidth="1"/>
    <col min="6" max="21" width="16" customWidth="1"/>
  </cols>
  <sheetData>
    <row r="1" spans="1:21" ht="16.5" x14ac:dyDescent="0.25">
      <c r="A1" s="18" t="s">
        <v>0</v>
      </c>
      <c r="B1" s="19"/>
      <c r="C1" s="19"/>
      <c r="D1" s="19"/>
      <c r="E1" s="19"/>
      <c r="F1" s="19"/>
      <c r="G1" s="19"/>
      <c r="H1" s="19"/>
      <c r="I1" s="19"/>
      <c r="J1" s="19"/>
      <c r="K1" s="19"/>
      <c r="L1" s="19"/>
      <c r="M1" s="19"/>
      <c r="N1" s="19"/>
      <c r="O1" s="19"/>
      <c r="P1" s="19"/>
      <c r="Q1" s="19"/>
      <c r="R1" s="19"/>
      <c r="S1" s="19"/>
      <c r="T1" s="19"/>
      <c r="U1" s="19"/>
    </row>
    <row r="2" spans="1:21" x14ac:dyDescent="0.25">
      <c r="A2" s="2" t="s">
        <v>1</v>
      </c>
      <c r="B2" s="2" t="s">
        <v>2</v>
      </c>
      <c r="C2" s="2" t="s">
        <v>3</v>
      </c>
      <c r="D2" s="2" t="s">
        <v>4</v>
      </c>
      <c r="E2" s="2" t="s">
        <v>5</v>
      </c>
      <c r="F2" s="3" t="s">
        <v>6</v>
      </c>
      <c r="G2" s="3" t="s">
        <v>7</v>
      </c>
      <c r="H2" s="3" t="s">
        <v>8</v>
      </c>
      <c r="I2" s="3" t="s">
        <v>9</v>
      </c>
      <c r="J2" s="3" t="s">
        <v>10</v>
      </c>
      <c r="K2" s="4" t="s">
        <v>11</v>
      </c>
      <c r="L2" s="4" t="s">
        <v>12</v>
      </c>
      <c r="M2" s="4" t="s">
        <v>13</v>
      </c>
      <c r="N2" s="4" t="s">
        <v>14</v>
      </c>
      <c r="O2" s="4" t="s">
        <v>15</v>
      </c>
      <c r="P2" s="4" t="s">
        <v>16</v>
      </c>
      <c r="Q2" s="4" t="s">
        <v>17</v>
      </c>
      <c r="R2" s="4" t="s">
        <v>18</v>
      </c>
      <c r="S2" s="4" t="s">
        <v>19</v>
      </c>
      <c r="T2" s="2" t="s">
        <v>20</v>
      </c>
      <c r="U2" s="2" t="s">
        <v>21</v>
      </c>
    </row>
    <row r="3" spans="1:21" ht="45.95" customHeight="1" x14ac:dyDescent="0.25">
      <c r="A3" s="5" t="s">
        <v>22</v>
      </c>
      <c r="B3" s="5" t="s">
        <v>22</v>
      </c>
      <c r="C3" s="5" t="s">
        <v>22</v>
      </c>
      <c r="D3" s="5" t="s">
        <v>22</v>
      </c>
      <c r="E3" s="5" t="s">
        <v>22</v>
      </c>
      <c r="F3" s="5" t="s">
        <v>23</v>
      </c>
      <c r="G3" s="5" t="s">
        <v>24</v>
      </c>
      <c r="H3" s="5" t="s">
        <v>25</v>
      </c>
      <c r="I3" s="5" t="s">
        <v>26</v>
      </c>
      <c r="J3" s="5" t="s">
        <v>27</v>
      </c>
      <c r="K3" s="5" t="s">
        <v>28</v>
      </c>
      <c r="L3" s="5" t="s">
        <v>29</v>
      </c>
      <c r="M3" s="5" t="s">
        <v>30</v>
      </c>
      <c r="N3" s="5" t="s">
        <v>31</v>
      </c>
      <c r="O3" s="5" t="s">
        <v>32</v>
      </c>
      <c r="P3" s="5" t="s">
        <v>33</v>
      </c>
      <c r="Q3" s="5" t="s">
        <v>34</v>
      </c>
      <c r="R3" s="5" t="s">
        <v>35</v>
      </c>
      <c r="S3" s="5" t="s">
        <v>36</v>
      </c>
      <c r="T3" s="5" t="s">
        <v>37</v>
      </c>
      <c r="U3" s="5" t="s">
        <v>38</v>
      </c>
    </row>
    <row r="4" spans="1:21" x14ac:dyDescent="0.25">
      <c r="A4" s="6" t="s">
        <v>39</v>
      </c>
      <c r="B4" s="6" t="s">
        <v>40</v>
      </c>
      <c r="C4" s="6" t="s">
        <v>41</v>
      </c>
      <c r="D4" s="6">
        <v>2020</v>
      </c>
      <c r="E4" s="6">
        <v>2025</v>
      </c>
      <c r="F4" s="6">
        <v>100</v>
      </c>
      <c r="G4" s="6">
        <v>137.5</v>
      </c>
      <c r="H4" s="6">
        <v>175</v>
      </c>
      <c r="I4" s="6">
        <v>212.5</v>
      </c>
      <c r="J4" s="6">
        <v>250</v>
      </c>
      <c r="K4" s="6">
        <v>287.5</v>
      </c>
      <c r="L4" s="6">
        <v>325</v>
      </c>
      <c r="M4" s="6">
        <v>362.5</v>
      </c>
      <c r="N4" s="6">
        <v>400</v>
      </c>
      <c r="O4" s="6">
        <v>437.5</v>
      </c>
      <c r="P4" s="6">
        <v>475</v>
      </c>
      <c r="Q4" s="6">
        <v>512.5</v>
      </c>
      <c r="R4" s="6">
        <v>550</v>
      </c>
      <c r="S4" s="6">
        <v>587.5</v>
      </c>
      <c r="T4" s="6" t="s">
        <v>42</v>
      </c>
      <c r="U4" s="6" t="s">
        <v>43</v>
      </c>
    </row>
    <row r="5" spans="1:21" x14ac:dyDescent="0.25">
      <c r="A5" s="7" t="s">
        <v>44</v>
      </c>
      <c r="B5" s="7" t="s">
        <v>45</v>
      </c>
      <c r="C5" s="7" t="s">
        <v>46</v>
      </c>
      <c r="D5" s="7">
        <v>2020</v>
      </c>
      <c r="E5" s="7">
        <v>2025</v>
      </c>
      <c r="F5" s="8"/>
      <c r="G5" s="8"/>
      <c r="H5" s="8"/>
      <c r="I5" s="8"/>
      <c r="J5" s="8"/>
      <c r="K5" s="24">
        <v>0.13</v>
      </c>
      <c r="L5" s="23">
        <v>0</v>
      </c>
      <c r="M5" s="23">
        <v>0.35</v>
      </c>
      <c r="N5" s="8">
        <v>2506</v>
      </c>
      <c r="O5" s="8"/>
      <c r="P5" s="23">
        <v>0</v>
      </c>
      <c r="Q5" s="24">
        <v>0.02</v>
      </c>
      <c r="R5" s="8"/>
      <c r="S5" s="8"/>
      <c r="T5" s="8"/>
      <c r="U5" s="8"/>
    </row>
    <row r="6" spans="1:21" x14ac:dyDescent="0.25">
      <c r="A6" s="7" t="s">
        <v>47</v>
      </c>
      <c r="B6" s="7" t="s">
        <v>48</v>
      </c>
      <c r="C6" s="7" t="s">
        <v>46</v>
      </c>
      <c r="D6" s="7">
        <v>2020</v>
      </c>
      <c r="E6" s="7">
        <v>2025</v>
      </c>
      <c r="F6" s="8"/>
      <c r="G6" s="8"/>
      <c r="H6" s="8"/>
      <c r="I6" s="8"/>
      <c r="J6" s="8"/>
      <c r="K6" s="24">
        <v>1.44</v>
      </c>
      <c r="L6" s="23">
        <v>0.95</v>
      </c>
      <c r="M6" s="23">
        <v>0.03</v>
      </c>
      <c r="N6" s="8">
        <v>0</v>
      </c>
      <c r="O6" s="8"/>
      <c r="P6" s="23">
        <v>0</v>
      </c>
      <c r="Q6" s="24">
        <v>0.01</v>
      </c>
      <c r="R6" s="8"/>
      <c r="S6" s="8"/>
      <c r="T6" s="8"/>
      <c r="U6" s="8"/>
    </row>
    <row r="7" spans="1:21" x14ac:dyDescent="0.25">
      <c r="A7" s="7" t="s">
        <v>49</v>
      </c>
      <c r="B7" s="7" t="s">
        <v>50</v>
      </c>
      <c r="C7" s="7" t="s">
        <v>46</v>
      </c>
      <c r="D7" s="7">
        <v>2020</v>
      </c>
      <c r="E7" s="7">
        <v>2025</v>
      </c>
      <c r="F7" s="8"/>
      <c r="G7" s="8"/>
      <c r="H7" s="8"/>
      <c r="I7" s="8"/>
      <c r="J7" s="8"/>
      <c r="K7" s="24">
        <v>7.95</v>
      </c>
      <c r="L7" s="23">
        <v>4.82</v>
      </c>
      <c r="M7" s="23">
        <v>4.84</v>
      </c>
      <c r="N7" s="8">
        <v>1296</v>
      </c>
      <c r="O7" s="8"/>
      <c r="P7" s="23">
        <v>0</v>
      </c>
      <c r="Q7" s="24">
        <v>0.02</v>
      </c>
      <c r="R7" s="8"/>
      <c r="S7" s="8"/>
      <c r="T7" s="8"/>
      <c r="U7" s="8"/>
    </row>
    <row r="8" spans="1:21" x14ac:dyDescent="0.25">
      <c r="A8" s="7" t="s">
        <v>51</v>
      </c>
      <c r="B8" s="7" t="s">
        <v>52</v>
      </c>
      <c r="C8" s="7" t="s">
        <v>46</v>
      </c>
      <c r="D8" s="7">
        <v>2020</v>
      </c>
      <c r="E8" s="7">
        <v>2025</v>
      </c>
      <c r="F8" s="8"/>
      <c r="G8" s="8"/>
      <c r="H8" s="8"/>
      <c r="I8" s="8"/>
      <c r="J8" s="8"/>
      <c r="K8" s="24">
        <v>3.64</v>
      </c>
      <c r="L8" s="23">
        <v>2.4700000000000002</v>
      </c>
      <c r="M8" s="23">
        <v>1.74</v>
      </c>
      <c r="N8" s="8">
        <v>1142</v>
      </c>
      <c r="O8" s="8"/>
      <c r="P8" s="23">
        <v>0</v>
      </c>
      <c r="Q8" s="24">
        <v>0.01</v>
      </c>
      <c r="R8" s="8"/>
      <c r="S8" s="8"/>
      <c r="T8" s="8"/>
      <c r="U8" s="8"/>
    </row>
    <row r="9" spans="1:21" x14ac:dyDescent="0.25">
      <c r="A9" s="7" t="s">
        <v>53</v>
      </c>
      <c r="B9" s="7" t="s">
        <v>54</v>
      </c>
      <c r="C9" s="7" t="s">
        <v>46</v>
      </c>
      <c r="D9" s="7">
        <v>2020</v>
      </c>
      <c r="E9" s="7">
        <v>2025</v>
      </c>
      <c r="F9" s="8"/>
      <c r="G9" s="8"/>
      <c r="H9" s="8"/>
      <c r="I9" s="8"/>
      <c r="J9" s="8"/>
      <c r="K9" s="24">
        <v>2.02</v>
      </c>
      <c r="L9" s="23">
        <v>4.3899999999999997</v>
      </c>
      <c r="M9" s="23">
        <v>0.99</v>
      </c>
      <c r="N9" s="8">
        <v>587</v>
      </c>
      <c r="O9" s="8"/>
      <c r="P9" s="23">
        <v>0</v>
      </c>
      <c r="Q9" s="24">
        <v>0.02</v>
      </c>
      <c r="R9" s="8"/>
      <c r="S9" s="8"/>
      <c r="T9" s="8"/>
      <c r="U9" s="8"/>
    </row>
    <row r="10" spans="1:21" x14ac:dyDescent="0.25">
      <c r="A10" s="7" t="s">
        <v>55</v>
      </c>
      <c r="B10" s="7" t="s">
        <v>46</v>
      </c>
      <c r="C10" s="7" t="s">
        <v>46</v>
      </c>
      <c r="D10" s="7">
        <v>2020</v>
      </c>
      <c r="E10" s="7">
        <v>2025</v>
      </c>
      <c r="F10" s="8"/>
      <c r="G10" s="8"/>
      <c r="H10" s="8"/>
      <c r="I10" s="8"/>
      <c r="J10" s="8"/>
      <c r="K10" s="24">
        <v>3.45</v>
      </c>
      <c r="L10" s="23">
        <v>1.34</v>
      </c>
      <c r="M10" s="23">
        <v>0.52</v>
      </c>
      <c r="N10" s="8">
        <v>2210</v>
      </c>
      <c r="O10" s="8"/>
      <c r="P10" s="23">
        <v>0</v>
      </c>
      <c r="Q10" s="24">
        <v>0.02</v>
      </c>
      <c r="R10" s="8"/>
      <c r="S10" s="8"/>
      <c r="T10" s="8"/>
      <c r="U10" s="8"/>
    </row>
    <row r="11" spans="1:21" x14ac:dyDescent="0.25">
      <c r="A11" s="7" t="s">
        <v>56</v>
      </c>
      <c r="B11" s="7" t="s">
        <v>57</v>
      </c>
      <c r="C11" s="7" t="s">
        <v>46</v>
      </c>
      <c r="D11" s="7">
        <v>2020</v>
      </c>
      <c r="E11" s="7">
        <v>2025</v>
      </c>
      <c r="F11" s="8"/>
      <c r="G11" s="8"/>
      <c r="H11" s="8"/>
      <c r="I11" s="8"/>
      <c r="J11" s="8"/>
      <c r="K11" s="24">
        <v>0</v>
      </c>
      <c r="L11" s="23">
        <v>0</v>
      </c>
      <c r="M11" s="23">
        <v>0</v>
      </c>
      <c r="N11" s="8">
        <v>2881</v>
      </c>
      <c r="O11" s="8"/>
      <c r="P11" s="23">
        <v>6.89093</v>
      </c>
      <c r="Q11" s="24">
        <v>0.02</v>
      </c>
      <c r="R11" s="8"/>
      <c r="S11" s="8"/>
      <c r="T11" s="8"/>
      <c r="U11" s="8"/>
    </row>
    <row r="12" spans="1:21" x14ac:dyDescent="0.25">
      <c r="A12" s="7" t="s">
        <v>58</v>
      </c>
      <c r="B12" s="7" t="s">
        <v>59</v>
      </c>
      <c r="C12" s="7" t="s">
        <v>46</v>
      </c>
      <c r="D12" s="7">
        <v>2020</v>
      </c>
      <c r="E12" s="7">
        <v>2025</v>
      </c>
      <c r="F12" s="8"/>
      <c r="G12" s="8"/>
      <c r="H12" s="8"/>
      <c r="I12" s="8"/>
      <c r="J12" s="8"/>
      <c r="K12" s="24">
        <v>0</v>
      </c>
      <c r="L12" s="23">
        <v>0</v>
      </c>
      <c r="M12" s="23">
        <v>0</v>
      </c>
      <c r="N12" s="8">
        <v>879</v>
      </c>
      <c r="O12" s="8"/>
      <c r="P12" s="23">
        <v>14.84782</v>
      </c>
      <c r="Q12" s="24">
        <v>0.02</v>
      </c>
      <c r="R12" s="8"/>
      <c r="S12" s="8"/>
      <c r="T12" s="8"/>
      <c r="U12" s="8"/>
    </row>
    <row r="13" spans="1:21" x14ac:dyDescent="0.25">
      <c r="A13" s="7" t="s">
        <v>60</v>
      </c>
      <c r="B13" s="7" t="s">
        <v>61</v>
      </c>
      <c r="C13" s="7" t="s">
        <v>46</v>
      </c>
      <c r="D13" s="7">
        <v>2020</v>
      </c>
      <c r="E13" s="7">
        <v>2025</v>
      </c>
      <c r="F13" s="8"/>
      <c r="G13" s="8"/>
      <c r="H13" s="8"/>
      <c r="I13" s="8"/>
      <c r="J13" s="8"/>
      <c r="K13" s="24">
        <v>1.61</v>
      </c>
      <c r="L13" s="23">
        <v>5.28</v>
      </c>
      <c r="M13" s="23">
        <v>3.2</v>
      </c>
      <c r="N13" s="8">
        <v>752</v>
      </c>
      <c r="O13" s="8"/>
      <c r="P13" s="23">
        <v>0</v>
      </c>
      <c r="Q13" s="24">
        <v>0.02</v>
      </c>
      <c r="R13" s="8"/>
      <c r="S13" s="8"/>
      <c r="T13" s="8"/>
      <c r="U13" s="8"/>
    </row>
    <row r="14" spans="1:21" x14ac:dyDescent="0.25">
      <c r="A14" s="7" t="s">
        <v>62</v>
      </c>
      <c r="B14" s="7" t="s">
        <v>63</v>
      </c>
      <c r="C14" s="7" t="s">
        <v>46</v>
      </c>
      <c r="D14" s="7">
        <v>2020</v>
      </c>
      <c r="E14" s="7">
        <v>2025</v>
      </c>
      <c r="F14" s="8"/>
      <c r="G14" s="8"/>
      <c r="H14" s="8"/>
      <c r="I14" s="8"/>
      <c r="J14" s="8"/>
      <c r="K14" s="24">
        <v>1.72</v>
      </c>
      <c r="L14" s="23">
        <v>4.75</v>
      </c>
      <c r="M14" s="23">
        <v>5.55</v>
      </c>
      <c r="N14" s="8">
        <v>1708</v>
      </c>
      <c r="O14" s="8"/>
      <c r="P14" s="23">
        <v>0</v>
      </c>
      <c r="Q14" s="24">
        <v>0.02</v>
      </c>
      <c r="R14" s="8"/>
      <c r="S14" s="8"/>
      <c r="T14" s="8"/>
      <c r="U14" s="8"/>
    </row>
    <row r="15" spans="1:21" x14ac:dyDescent="0.25">
      <c r="A15" s="7" t="s">
        <v>64</v>
      </c>
      <c r="B15" s="7" t="s">
        <v>65</v>
      </c>
      <c r="C15" s="7" t="s">
        <v>46</v>
      </c>
      <c r="D15" s="7">
        <v>2020</v>
      </c>
      <c r="E15" s="7">
        <v>2025</v>
      </c>
      <c r="F15" s="8"/>
      <c r="G15" s="8"/>
      <c r="H15" s="8"/>
      <c r="I15" s="8"/>
      <c r="J15" s="8"/>
      <c r="K15" s="24">
        <v>0.99</v>
      </c>
      <c r="L15" s="23">
        <v>0.12</v>
      </c>
      <c r="M15" s="23">
        <v>0.52</v>
      </c>
      <c r="N15" s="8">
        <v>1691</v>
      </c>
      <c r="O15" s="8"/>
      <c r="P15" s="23">
        <v>0</v>
      </c>
      <c r="Q15" s="24">
        <v>0.01</v>
      </c>
      <c r="R15" s="8"/>
      <c r="S15" s="8"/>
      <c r="T15" s="8"/>
      <c r="U15" s="8"/>
    </row>
    <row r="16" spans="1:21" x14ac:dyDescent="0.25">
      <c r="A16" s="7" t="s">
        <v>66</v>
      </c>
      <c r="B16" s="7" t="s">
        <v>67</v>
      </c>
      <c r="C16" s="7" t="s">
        <v>68</v>
      </c>
      <c r="D16" s="7">
        <v>2020</v>
      </c>
      <c r="E16" s="7">
        <v>2025</v>
      </c>
      <c r="F16" s="8"/>
      <c r="G16" s="8"/>
      <c r="H16" s="8"/>
      <c r="I16" s="8"/>
      <c r="J16" s="8"/>
      <c r="K16" s="24">
        <v>0</v>
      </c>
      <c r="L16" s="23">
        <v>0.79</v>
      </c>
      <c r="M16" s="23">
        <v>1.75</v>
      </c>
      <c r="N16" s="8">
        <v>376</v>
      </c>
      <c r="O16" s="8"/>
      <c r="P16" s="23">
        <v>0</v>
      </c>
      <c r="Q16" s="24">
        <v>0.01</v>
      </c>
      <c r="R16" s="8"/>
      <c r="S16" s="8"/>
      <c r="T16" s="8"/>
      <c r="U16" s="8"/>
    </row>
    <row r="17" spans="1:21" x14ac:dyDescent="0.25">
      <c r="A17" s="7" t="s">
        <v>69</v>
      </c>
      <c r="B17" s="7" t="s">
        <v>70</v>
      </c>
      <c r="C17" s="7" t="s">
        <v>68</v>
      </c>
      <c r="D17" s="7">
        <v>2020</v>
      </c>
      <c r="E17" s="7">
        <v>2025</v>
      </c>
      <c r="F17" s="8"/>
      <c r="G17" s="8"/>
      <c r="H17" s="8"/>
      <c r="I17" s="8"/>
      <c r="J17" s="8"/>
      <c r="K17" s="24">
        <v>0</v>
      </c>
      <c r="L17" s="23">
        <v>0</v>
      </c>
      <c r="M17" s="23">
        <v>0</v>
      </c>
      <c r="N17" s="8">
        <v>1045</v>
      </c>
      <c r="O17" s="8"/>
      <c r="P17" s="23">
        <v>0</v>
      </c>
      <c r="Q17" s="24">
        <v>0.01</v>
      </c>
      <c r="R17" s="8"/>
      <c r="S17" s="8"/>
      <c r="T17" s="8"/>
      <c r="U17" s="8"/>
    </row>
    <row r="18" spans="1:21" x14ac:dyDescent="0.25">
      <c r="A18" s="7" t="s">
        <v>71</v>
      </c>
      <c r="B18" s="7" t="s">
        <v>72</v>
      </c>
      <c r="C18" s="7" t="s">
        <v>68</v>
      </c>
      <c r="D18" s="7">
        <v>2020</v>
      </c>
      <c r="E18" s="7">
        <v>2025</v>
      </c>
      <c r="F18" s="8"/>
      <c r="G18" s="8"/>
      <c r="H18" s="8"/>
      <c r="I18" s="8"/>
      <c r="J18" s="8"/>
      <c r="K18" s="24">
        <v>1.91</v>
      </c>
      <c r="L18" s="23">
        <v>1.89</v>
      </c>
      <c r="M18" s="23">
        <v>4.5199999999999996</v>
      </c>
      <c r="N18" s="8">
        <v>909</v>
      </c>
      <c r="O18" s="8"/>
      <c r="P18" s="23">
        <v>0</v>
      </c>
      <c r="Q18" s="24">
        <v>0.01</v>
      </c>
      <c r="R18" s="8"/>
      <c r="S18" s="8"/>
      <c r="T18" s="8"/>
      <c r="U18" s="8"/>
    </row>
    <row r="19" spans="1:21" x14ac:dyDescent="0.25">
      <c r="A19" s="7" t="s">
        <v>73</v>
      </c>
      <c r="B19" s="7" t="s">
        <v>74</v>
      </c>
      <c r="C19" s="7" t="s">
        <v>68</v>
      </c>
      <c r="D19" s="7">
        <v>2020</v>
      </c>
      <c r="E19" s="7">
        <v>2025</v>
      </c>
      <c r="F19" s="8"/>
      <c r="G19" s="8"/>
      <c r="H19" s="8"/>
      <c r="I19" s="8"/>
      <c r="J19" s="8"/>
      <c r="K19" s="24">
        <v>0</v>
      </c>
      <c r="L19" s="23">
        <v>11.36</v>
      </c>
      <c r="M19" s="23">
        <v>3.69</v>
      </c>
      <c r="N19" s="8">
        <v>202</v>
      </c>
      <c r="O19" s="8"/>
      <c r="P19" s="23">
        <v>0</v>
      </c>
      <c r="Q19" s="24">
        <v>0.01</v>
      </c>
      <c r="R19" s="8"/>
      <c r="S19" s="8"/>
      <c r="T19" s="8"/>
      <c r="U19" s="8"/>
    </row>
    <row r="20" spans="1:21" x14ac:dyDescent="0.25">
      <c r="A20" s="7" t="s">
        <v>75</v>
      </c>
      <c r="B20" s="7" t="s">
        <v>76</v>
      </c>
      <c r="C20" s="7" t="s">
        <v>68</v>
      </c>
      <c r="D20" s="7">
        <v>2020</v>
      </c>
      <c r="E20" s="7">
        <v>2025</v>
      </c>
      <c r="F20" s="8"/>
      <c r="G20" s="8"/>
      <c r="H20" s="8"/>
      <c r="I20" s="8"/>
      <c r="J20" s="8"/>
      <c r="K20" s="24">
        <v>0</v>
      </c>
      <c r="L20" s="23">
        <v>0</v>
      </c>
      <c r="M20" s="23">
        <v>0</v>
      </c>
      <c r="N20" s="8">
        <v>20</v>
      </c>
      <c r="O20" s="8"/>
      <c r="P20" s="23">
        <v>0</v>
      </c>
      <c r="Q20" s="24">
        <v>0.01</v>
      </c>
      <c r="R20" s="8"/>
      <c r="S20" s="8"/>
      <c r="T20" s="8"/>
      <c r="U20" s="8"/>
    </row>
    <row r="21" spans="1:21" x14ac:dyDescent="0.25">
      <c r="A21" s="7" t="s">
        <v>77</v>
      </c>
      <c r="B21" s="7" t="s">
        <v>78</v>
      </c>
      <c r="C21" s="7" t="s">
        <v>68</v>
      </c>
      <c r="D21" s="7">
        <v>2020</v>
      </c>
      <c r="E21" s="7">
        <v>2025</v>
      </c>
      <c r="F21" s="8"/>
      <c r="G21" s="8"/>
      <c r="H21" s="8"/>
      <c r="I21" s="8"/>
      <c r="J21" s="8"/>
      <c r="K21" s="24">
        <v>0</v>
      </c>
      <c r="L21" s="23">
        <v>0</v>
      </c>
      <c r="M21" s="23">
        <v>0</v>
      </c>
      <c r="N21" s="8">
        <v>849</v>
      </c>
      <c r="O21" s="8"/>
      <c r="P21" s="23">
        <v>0</v>
      </c>
      <c r="Q21" s="24">
        <v>0.01</v>
      </c>
      <c r="R21" s="8"/>
      <c r="S21" s="8"/>
      <c r="T21" s="8"/>
      <c r="U21" s="8"/>
    </row>
    <row r="22" spans="1:21" x14ac:dyDescent="0.25">
      <c r="A22" s="7" t="s">
        <v>79</v>
      </c>
      <c r="B22" s="7" t="s">
        <v>80</v>
      </c>
      <c r="C22" s="7" t="s">
        <v>68</v>
      </c>
      <c r="D22" s="7">
        <v>2020</v>
      </c>
      <c r="E22" s="7">
        <v>2025</v>
      </c>
      <c r="F22" s="8"/>
      <c r="G22" s="8"/>
      <c r="H22" s="8"/>
      <c r="I22" s="8"/>
      <c r="J22" s="8"/>
      <c r="K22" s="24">
        <v>0</v>
      </c>
      <c r="L22" s="23">
        <v>0</v>
      </c>
      <c r="M22" s="23">
        <v>0</v>
      </c>
      <c r="N22" s="8">
        <v>746</v>
      </c>
      <c r="O22" s="8"/>
      <c r="P22" s="23">
        <v>0</v>
      </c>
      <c r="Q22" s="24">
        <v>0.01</v>
      </c>
      <c r="R22" s="8"/>
      <c r="S22" s="8"/>
      <c r="T22" s="8"/>
      <c r="U22" s="8"/>
    </row>
    <row r="23" spans="1:21" x14ac:dyDescent="0.25">
      <c r="A23" s="7" t="s">
        <v>81</v>
      </c>
      <c r="B23" s="7" t="s">
        <v>82</v>
      </c>
      <c r="C23" s="7" t="s">
        <v>68</v>
      </c>
      <c r="D23" s="7">
        <v>2020</v>
      </c>
      <c r="E23" s="7">
        <v>2025</v>
      </c>
      <c r="F23" s="8"/>
      <c r="G23" s="8"/>
      <c r="H23" s="8"/>
      <c r="I23" s="8"/>
      <c r="J23" s="8"/>
      <c r="K23" s="24">
        <v>0</v>
      </c>
      <c r="L23" s="23">
        <v>0</v>
      </c>
      <c r="M23" s="23">
        <v>0</v>
      </c>
      <c r="N23" s="8">
        <v>551</v>
      </c>
      <c r="O23" s="8"/>
      <c r="P23" s="23">
        <v>0</v>
      </c>
      <c r="Q23" s="24">
        <v>0.01</v>
      </c>
      <c r="R23" s="8"/>
      <c r="S23" s="8"/>
      <c r="T23" s="8"/>
      <c r="U23" s="8"/>
    </row>
    <row r="24" spans="1:21" x14ac:dyDescent="0.25">
      <c r="A24" s="7" t="s">
        <v>83</v>
      </c>
      <c r="B24" s="7" t="s">
        <v>84</v>
      </c>
      <c r="C24" s="7" t="s">
        <v>68</v>
      </c>
      <c r="D24" s="7">
        <v>2020</v>
      </c>
      <c r="E24" s="7">
        <v>2025</v>
      </c>
      <c r="F24" s="8"/>
      <c r="G24" s="8"/>
      <c r="H24" s="8"/>
      <c r="I24" s="8"/>
      <c r="J24" s="8"/>
      <c r="K24" s="24">
        <v>0</v>
      </c>
      <c r="L24" s="23">
        <v>0</v>
      </c>
      <c r="M24" s="23">
        <v>0</v>
      </c>
      <c r="N24" s="8">
        <v>873</v>
      </c>
      <c r="O24" s="8"/>
      <c r="P24" s="23">
        <v>0</v>
      </c>
      <c r="Q24" s="24">
        <v>0</v>
      </c>
      <c r="R24" s="8"/>
      <c r="S24" s="8"/>
      <c r="T24" s="8"/>
      <c r="U24" s="8"/>
    </row>
    <row r="25" spans="1:21" x14ac:dyDescent="0.25">
      <c r="A25" s="7" t="s">
        <v>85</v>
      </c>
      <c r="B25" s="7" t="s">
        <v>86</v>
      </c>
      <c r="C25" s="7" t="s">
        <v>68</v>
      </c>
      <c r="D25" s="7">
        <v>2020</v>
      </c>
      <c r="E25" s="7">
        <v>2025</v>
      </c>
      <c r="F25" s="8"/>
      <c r="G25" s="8"/>
      <c r="H25" s="8"/>
      <c r="I25" s="8"/>
      <c r="J25" s="8"/>
      <c r="K25" s="24">
        <v>0</v>
      </c>
      <c r="L25" s="23">
        <v>0</v>
      </c>
      <c r="M25" s="23">
        <v>0</v>
      </c>
      <c r="N25" s="8">
        <v>1045</v>
      </c>
      <c r="O25" s="8"/>
      <c r="P25" s="23">
        <v>0</v>
      </c>
      <c r="Q25" s="24">
        <v>0</v>
      </c>
      <c r="R25" s="8"/>
      <c r="S25" s="8"/>
      <c r="T25" s="8"/>
      <c r="U25" s="8"/>
    </row>
    <row r="26" spans="1:21" x14ac:dyDescent="0.25">
      <c r="A26" s="7" t="s">
        <v>87</v>
      </c>
      <c r="B26" s="7" t="s">
        <v>88</v>
      </c>
      <c r="C26" s="7" t="s">
        <v>68</v>
      </c>
      <c r="D26" s="7">
        <v>2020</v>
      </c>
      <c r="E26" s="7">
        <v>2025</v>
      </c>
      <c r="F26" s="8"/>
      <c r="G26" s="8"/>
      <c r="H26" s="8"/>
      <c r="I26" s="8"/>
      <c r="J26" s="8"/>
      <c r="K26" s="24">
        <v>11.87</v>
      </c>
      <c r="L26" s="23">
        <v>18.09</v>
      </c>
      <c r="M26" s="23">
        <v>21.03</v>
      </c>
      <c r="N26" s="8">
        <v>297</v>
      </c>
      <c r="O26" s="8"/>
      <c r="P26" s="23">
        <v>0</v>
      </c>
      <c r="Q26" s="24">
        <v>0.01</v>
      </c>
      <c r="R26" s="8"/>
      <c r="S26" s="8"/>
      <c r="T26" s="8"/>
      <c r="U26" s="8"/>
    </row>
    <row r="27" spans="1:21" x14ac:dyDescent="0.25">
      <c r="A27" s="7" t="s">
        <v>89</v>
      </c>
      <c r="B27" s="7" t="s">
        <v>90</v>
      </c>
      <c r="C27" s="7" t="s">
        <v>68</v>
      </c>
      <c r="D27" s="7">
        <v>2020</v>
      </c>
      <c r="E27" s="7">
        <v>2025</v>
      </c>
      <c r="F27" s="8"/>
      <c r="G27" s="8"/>
      <c r="H27" s="8"/>
      <c r="I27" s="8"/>
      <c r="J27" s="8"/>
      <c r="K27" s="24">
        <v>0</v>
      </c>
      <c r="L27" s="23">
        <v>0</v>
      </c>
      <c r="M27" s="23">
        <v>0</v>
      </c>
      <c r="N27" s="8">
        <v>1359</v>
      </c>
      <c r="O27" s="8"/>
      <c r="P27" s="23">
        <v>0</v>
      </c>
      <c r="Q27" s="24">
        <v>0.01</v>
      </c>
      <c r="R27" s="8"/>
      <c r="S27" s="8"/>
      <c r="T27" s="8"/>
      <c r="U27" s="8"/>
    </row>
    <row r="28" spans="1:21" x14ac:dyDescent="0.25">
      <c r="A28" s="7" t="s">
        <v>91</v>
      </c>
      <c r="B28" s="7" t="s">
        <v>92</v>
      </c>
      <c r="C28" s="7" t="s">
        <v>68</v>
      </c>
      <c r="D28" s="7">
        <v>2020</v>
      </c>
      <c r="E28" s="7">
        <v>2025</v>
      </c>
      <c r="F28" s="8"/>
      <c r="G28" s="8"/>
      <c r="H28" s="8"/>
      <c r="I28" s="8"/>
      <c r="J28" s="8"/>
      <c r="K28" s="24">
        <v>2.2599999999999998</v>
      </c>
      <c r="L28" s="23">
        <v>13.6</v>
      </c>
      <c r="M28" s="23">
        <v>22.68</v>
      </c>
      <c r="N28" s="8">
        <v>209</v>
      </c>
      <c r="O28" s="8"/>
      <c r="P28" s="23">
        <v>0</v>
      </c>
      <c r="Q28" s="24">
        <v>0.01</v>
      </c>
      <c r="R28" s="8"/>
      <c r="S28" s="8"/>
      <c r="T28" s="8"/>
      <c r="U28" s="8"/>
    </row>
    <row r="29" spans="1:21" x14ac:dyDescent="0.25">
      <c r="A29" s="7" t="s">
        <v>93</v>
      </c>
      <c r="B29" s="7" t="s">
        <v>94</v>
      </c>
      <c r="C29" s="7" t="s">
        <v>68</v>
      </c>
      <c r="D29" s="7">
        <v>2020</v>
      </c>
      <c r="E29" s="7">
        <v>2025</v>
      </c>
      <c r="F29" s="8"/>
      <c r="G29" s="8"/>
      <c r="H29" s="8"/>
      <c r="I29" s="8"/>
      <c r="J29" s="8"/>
      <c r="K29" s="24">
        <v>0</v>
      </c>
      <c r="L29" s="23">
        <v>0</v>
      </c>
      <c r="M29" s="23">
        <v>0.39</v>
      </c>
      <c r="N29" s="8">
        <v>0</v>
      </c>
      <c r="O29" s="8"/>
      <c r="P29" s="23">
        <v>0</v>
      </c>
      <c r="Q29" s="24">
        <v>0.01</v>
      </c>
      <c r="R29" s="8"/>
      <c r="S29" s="8"/>
      <c r="T29" s="8"/>
      <c r="U29" s="8"/>
    </row>
    <row r="30" spans="1:21" x14ac:dyDescent="0.25">
      <c r="A30" s="7" t="s">
        <v>95</v>
      </c>
      <c r="B30" s="7" t="s">
        <v>96</v>
      </c>
      <c r="C30" s="7" t="s">
        <v>68</v>
      </c>
      <c r="D30" s="7">
        <v>2020</v>
      </c>
      <c r="E30" s="7">
        <v>2025</v>
      </c>
      <c r="F30" s="8"/>
      <c r="G30" s="8"/>
      <c r="H30" s="8"/>
      <c r="I30" s="8"/>
      <c r="J30" s="8"/>
      <c r="K30" s="24">
        <v>0</v>
      </c>
      <c r="L30" s="23">
        <v>0</v>
      </c>
      <c r="M30" s="23">
        <v>0</v>
      </c>
      <c r="N30" s="8">
        <v>698</v>
      </c>
      <c r="O30" s="8"/>
      <c r="P30" s="23">
        <v>0</v>
      </c>
      <c r="Q30" s="24">
        <v>0.01</v>
      </c>
      <c r="R30" s="8"/>
      <c r="S30" s="8"/>
      <c r="T30" s="8"/>
      <c r="U30" s="8"/>
    </row>
    <row r="31" spans="1:21" x14ac:dyDescent="0.25">
      <c r="A31" s="7" t="s">
        <v>97</v>
      </c>
      <c r="B31" s="7" t="s">
        <v>98</v>
      </c>
      <c r="C31" s="7" t="s">
        <v>68</v>
      </c>
      <c r="D31" s="7">
        <v>2020</v>
      </c>
      <c r="E31" s="7">
        <v>2025</v>
      </c>
      <c r="F31" s="8"/>
      <c r="G31" s="8"/>
      <c r="H31" s="8"/>
      <c r="I31" s="8"/>
      <c r="J31" s="8"/>
      <c r="K31" s="24">
        <v>2.46</v>
      </c>
      <c r="L31" s="23">
        <v>2.79</v>
      </c>
      <c r="M31" s="23">
        <v>0.86</v>
      </c>
      <c r="N31" s="8">
        <v>769</v>
      </c>
      <c r="O31" s="8"/>
      <c r="P31" s="23">
        <v>0</v>
      </c>
      <c r="Q31" s="24">
        <v>0.01</v>
      </c>
      <c r="R31" s="8"/>
      <c r="S31" s="8"/>
      <c r="T31" s="8"/>
      <c r="U31" s="8"/>
    </row>
    <row r="32" spans="1:21" x14ac:dyDescent="0.25">
      <c r="A32" s="7" t="s">
        <v>99</v>
      </c>
      <c r="B32" s="7" t="s">
        <v>68</v>
      </c>
      <c r="C32" s="7" t="s">
        <v>68</v>
      </c>
      <c r="D32" s="7">
        <v>2020</v>
      </c>
      <c r="E32" s="7">
        <v>2025</v>
      </c>
      <c r="F32" s="8"/>
      <c r="G32" s="8"/>
      <c r="H32" s="8"/>
      <c r="I32" s="8"/>
      <c r="J32" s="8"/>
      <c r="K32" s="24">
        <v>6.51</v>
      </c>
      <c r="L32" s="23">
        <v>14.08</v>
      </c>
      <c r="M32" s="23">
        <v>12.43</v>
      </c>
      <c r="N32" s="8">
        <v>1580</v>
      </c>
      <c r="O32" s="8"/>
      <c r="P32" s="23">
        <v>0</v>
      </c>
      <c r="Q32" s="24">
        <v>0.01</v>
      </c>
      <c r="R32" s="8"/>
      <c r="S32" s="8"/>
      <c r="T32" s="8"/>
      <c r="U32" s="8"/>
    </row>
    <row r="33" spans="1:21" x14ac:dyDescent="0.25">
      <c r="A33" s="7" t="s">
        <v>100</v>
      </c>
      <c r="B33" s="7" t="s">
        <v>101</v>
      </c>
      <c r="C33" s="7" t="s">
        <v>68</v>
      </c>
      <c r="D33" s="7">
        <v>2020</v>
      </c>
      <c r="E33" s="7">
        <v>2025</v>
      </c>
      <c r="F33" s="8"/>
      <c r="G33" s="8"/>
      <c r="H33" s="8"/>
      <c r="I33" s="8"/>
      <c r="J33" s="8"/>
      <c r="K33" s="24">
        <v>0</v>
      </c>
      <c r="L33" s="23">
        <v>0</v>
      </c>
      <c r="M33" s="23">
        <v>0</v>
      </c>
      <c r="N33" s="8">
        <v>1214</v>
      </c>
      <c r="O33" s="8"/>
      <c r="P33" s="23">
        <v>0</v>
      </c>
      <c r="Q33" s="24">
        <v>0.01</v>
      </c>
      <c r="R33" s="8"/>
      <c r="S33" s="8"/>
      <c r="T33" s="8"/>
      <c r="U33" s="8"/>
    </row>
  </sheetData>
  <mergeCells count="1">
    <mergeCell ref="A1:U1"/>
  </mergeCells>
  <dataValidations count="1">
    <dataValidation type="decimal" operator="greaterThanOrEqual" allowBlank="1" errorTitle="Invalid value" error="Raw values must be numbers &gt;= 0."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3"/>
  <sheetViews>
    <sheetView workbookViewId="0">
      <pane xSplit="5" ySplit="3" topLeftCell="F4" activePane="bottomRight" state="frozen"/>
      <selection pane="topRight"/>
      <selection pane="bottomLeft"/>
      <selection pane="bottomRight" sqref="A1:U1"/>
    </sheetView>
  </sheetViews>
  <sheetFormatPr defaultRowHeight="15" x14ac:dyDescent="0.25"/>
  <cols>
    <col min="1" max="1" width="14" customWidth="1"/>
    <col min="2" max="2" width="34" customWidth="1"/>
    <col min="3" max="3" width="16" customWidth="1"/>
    <col min="4" max="5" width="11" customWidth="1"/>
    <col min="6" max="21" width="16" customWidth="1"/>
  </cols>
  <sheetData>
    <row r="1" spans="1:21" ht="16.5" x14ac:dyDescent="0.25">
      <c r="A1" s="18" t="s">
        <v>102</v>
      </c>
      <c r="B1" s="19"/>
      <c r="C1" s="19"/>
      <c r="D1" s="19"/>
      <c r="E1" s="19"/>
      <c r="F1" s="19"/>
      <c r="G1" s="19"/>
      <c r="H1" s="19"/>
      <c r="I1" s="19"/>
      <c r="J1" s="19"/>
      <c r="K1" s="19"/>
      <c r="L1" s="19"/>
      <c r="M1" s="19"/>
      <c r="N1" s="19"/>
      <c r="O1" s="19"/>
      <c r="P1" s="19"/>
      <c r="Q1" s="19"/>
      <c r="R1" s="19"/>
      <c r="S1" s="19"/>
      <c r="T1" s="19"/>
      <c r="U1" s="19"/>
    </row>
    <row r="2" spans="1:21" x14ac:dyDescent="0.25">
      <c r="A2" s="2" t="s">
        <v>1</v>
      </c>
      <c r="B2" s="2" t="s">
        <v>2</v>
      </c>
      <c r="C2" s="2" t="s">
        <v>3</v>
      </c>
      <c r="D2" s="2" t="s">
        <v>4</v>
      </c>
      <c r="E2" s="2" t="s">
        <v>5</v>
      </c>
      <c r="F2" s="3" t="s">
        <v>6</v>
      </c>
      <c r="G2" s="3" t="s">
        <v>7</v>
      </c>
      <c r="H2" s="3" t="s">
        <v>8</v>
      </c>
      <c r="I2" s="3" t="s">
        <v>9</v>
      </c>
      <c r="J2" s="3" t="s">
        <v>10</v>
      </c>
      <c r="K2" s="4" t="s">
        <v>11</v>
      </c>
      <c r="L2" s="4" t="s">
        <v>12</v>
      </c>
      <c r="M2" s="4" t="s">
        <v>13</v>
      </c>
      <c r="N2" s="4" t="s">
        <v>14</v>
      </c>
      <c r="O2" s="4" t="s">
        <v>15</v>
      </c>
      <c r="P2" s="4" t="s">
        <v>16</v>
      </c>
      <c r="Q2" s="4" t="s">
        <v>17</v>
      </c>
      <c r="R2" s="4" t="s">
        <v>18</v>
      </c>
      <c r="S2" s="4" t="s">
        <v>19</v>
      </c>
      <c r="T2" s="2" t="s">
        <v>20</v>
      </c>
      <c r="U2" s="2" t="s">
        <v>21</v>
      </c>
    </row>
    <row r="3" spans="1:21" ht="45.95" customHeight="1" x14ac:dyDescent="0.25">
      <c r="A3" s="5" t="s">
        <v>22</v>
      </c>
      <c r="B3" s="5" t="s">
        <v>22</v>
      </c>
      <c r="C3" s="5" t="s">
        <v>22</v>
      </c>
      <c r="D3" s="5" t="s">
        <v>22</v>
      </c>
      <c r="E3" s="5" t="s">
        <v>22</v>
      </c>
      <c r="F3" s="5" t="s">
        <v>23</v>
      </c>
      <c r="G3" s="5" t="s">
        <v>24</v>
      </c>
      <c r="H3" s="5" t="s">
        <v>25</v>
      </c>
      <c r="I3" s="5" t="s">
        <v>26</v>
      </c>
      <c r="J3" s="5" t="s">
        <v>27</v>
      </c>
      <c r="K3" s="5" t="s">
        <v>28</v>
      </c>
      <c r="L3" s="5" t="s">
        <v>29</v>
      </c>
      <c r="M3" s="5" t="s">
        <v>30</v>
      </c>
      <c r="N3" s="5" t="s">
        <v>31</v>
      </c>
      <c r="O3" s="5" t="s">
        <v>32</v>
      </c>
      <c r="P3" s="5" t="s">
        <v>33</v>
      </c>
      <c r="Q3" s="5" t="s">
        <v>34</v>
      </c>
      <c r="R3" s="5" t="s">
        <v>35</v>
      </c>
      <c r="S3" s="5" t="s">
        <v>36</v>
      </c>
      <c r="T3" s="5" t="s">
        <v>37</v>
      </c>
      <c r="U3" s="5" t="s">
        <v>38</v>
      </c>
    </row>
    <row r="4" spans="1:21" x14ac:dyDescent="0.25">
      <c r="A4" s="6" t="s">
        <v>39</v>
      </c>
      <c r="B4" s="6" t="s">
        <v>40</v>
      </c>
      <c r="C4" s="6" t="s">
        <v>41</v>
      </c>
      <c r="D4" s="6">
        <v>2025</v>
      </c>
      <c r="E4" s="6">
        <v>2030</v>
      </c>
      <c r="F4" s="6">
        <v>100</v>
      </c>
      <c r="G4" s="6">
        <v>137.5</v>
      </c>
      <c r="H4" s="6">
        <v>175</v>
      </c>
      <c r="I4" s="6">
        <v>212.5</v>
      </c>
      <c r="J4" s="6">
        <v>250</v>
      </c>
      <c r="K4" s="6">
        <v>287.5</v>
      </c>
      <c r="L4" s="6">
        <v>325</v>
      </c>
      <c r="M4" s="6">
        <v>362.5</v>
      </c>
      <c r="N4" s="6">
        <v>400</v>
      </c>
      <c r="O4" s="6">
        <v>437.5</v>
      </c>
      <c r="P4" s="6">
        <v>475</v>
      </c>
      <c r="Q4" s="6">
        <v>512.5</v>
      </c>
      <c r="R4" s="6">
        <v>550</v>
      </c>
      <c r="S4" s="6">
        <v>587.5</v>
      </c>
      <c r="T4" s="6" t="s">
        <v>103</v>
      </c>
      <c r="U4" s="6" t="s">
        <v>43</v>
      </c>
    </row>
    <row r="5" spans="1:21" x14ac:dyDescent="0.25">
      <c r="A5" s="7" t="s">
        <v>44</v>
      </c>
      <c r="B5" s="7" t="s">
        <v>45</v>
      </c>
      <c r="C5" s="7" t="s">
        <v>46</v>
      </c>
      <c r="D5" s="7">
        <v>2025</v>
      </c>
      <c r="E5" s="7">
        <v>2030</v>
      </c>
      <c r="F5" s="8"/>
      <c r="G5" s="8"/>
      <c r="H5" s="8"/>
      <c r="I5" s="8"/>
      <c r="J5" s="8"/>
      <c r="K5" s="8"/>
      <c r="L5" s="8"/>
      <c r="M5" s="8"/>
      <c r="N5" s="8"/>
      <c r="O5" s="8"/>
      <c r="P5" s="8"/>
      <c r="Q5" s="8"/>
      <c r="R5" s="8"/>
      <c r="S5" s="8"/>
      <c r="T5" s="8"/>
      <c r="U5" s="8"/>
    </row>
    <row r="6" spans="1:21" x14ac:dyDescent="0.25">
      <c r="A6" s="7" t="s">
        <v>47</v>
      </c>
      <c r="B6" s="7" t="s">
        <v>48</v>
      </c>
      <c r="C6" s="7" t="s">
        <v>46</v>
      </c>
      <c r="D6" s="7">
        <v>2025</v>
      </c>
      <c r="E6" s="7">
        <v>2030</v>
      </c>
      <c r="F6" s="8"/>
      <c r="G6" s="8"/>
      <c r="H6" s="8"/>
      <c r="I6" s="8"/>
      <c r="J6" s="8"/>
      <c r="K6" s="8"/>
      <c r="L6" s="8"/>
      <c r="M6" s="8"/>
      <c r="N6" s="8"/>
      <c r="O6" s="8"/>
      <c r="P6" s="8"/>
      <c r="Q6" s="8"/>
      <c r="R6" s="8"/>
      <c r="S6" s="8"/>
      <c r="T6" s="8"/>
      <c r="U6" s="8"/>
    </row>
    <row r="7" spans="1:21" x14ac:dyDescent="0.25">
      <c r="A7" s="7" t="s">
        <v>49</v>
      </c>
      <c r="B7" s="7" t="s">
        <v>50</v>
      </c>
      <c r="C7" s="7" t="s">
        <v>46</v>
      </c>
      <c r="D7" s="7">
        <v>2025</v>
      </c>
      <c r="E7" s="7">
        <v>2030</v>
      </c>
      <c r="F7" s="8"/>
      <c r="G7" s="8"/>
      <c r="H7" s="8"/>
      <c r="I7" s="8"/>
      <c r="J7" s="8"/>
      <c r="K7" s="8"/>
      <c r="L7" s="8"/>
      <c r="M7" s="8"/>
      <c r="N7" s="8"/>
      <c r="O7" s="8"/>
      <c r="P7" s="8"/>
      <c r="Q7" s="8"/>
      <c r="R7" s="8"/>
      <c r="S7" s="8"/>
      <c r="T7" s="8"/>
      <c r="U7" s="8"/>
    </row>
    <row r="8" spans="1:21" x14ac:dyDescent="0.25">
      <c r="A8" s="7" t="s">
        <v>51</v>
      </c>
      <c r="B8" s="7" t="s">
        <v>52</v>
      </c>
      <c r="C8" s="7" t="s">
        <v>46</v>
      </c>
      <c r="D8" s="7">
        <v>2025</v>
      </c>
      <c r="E8" s="7">
        <v>2030</v>
      </c>
      <c r="F8" s="8"/>
      <c r="G8" s="8"/>
      <c r="H8" s="8"/>
      <c r="I8" s="8"/>
      <c r="J8" s="8"/>
      <c r="K8" s="8"/>
      <c r="L8" s="8"/>
      <c r="M8" s="8"/>
      <c r="N8" s="8"/>
      <c r="O8" s="8"/>
      <c r="P8" s="8"/>
      <c r="Q8" s="8"/>
      <c r="R8" s="8"/>
      <c r="S8" s="8"/>
      <c r="T8" s="8"/>
      <c r="U8" s="8"/>
    </row>
    <row r="9" spans="1:21" x14ac:dyDescent="0.25">
      <c r="A9" s="7" t="s">
        <v>53</v>
      </c>
      <c r="B9" s="7" t="s">
        <v>54</v>
      </c>
      <c r="C9" s="7" t="s">
        <v>46</v>
      </c>
      <c r="D9" s="7">
        <v>2025</v>
      </c>
      <c r="E9" s="7">
        <v>2030</v>
      </c>
      <c r="F9" s="8"/>
      <c r="G9" s="8"/>
      <c r="H9" s="8"/>
      <c r="I9" s="8"/>
      <c r="J9" s="8"/>
      <c r="K9" s="8"/>
      <c r="L9" s="8"/>
      <c r="M9" s="8"/>
      <c r="N9" s="8"/>
      <c r="O9" s="8"/>
      <c r="P9" s="8"/>
      <c r="Q9" s="8"/>
      <c r="R9" s="8"/>
      <c r="S9" s="8"/>
      <c r="T9" s="8"/>
      <c r="U9" s="8"/>
    </row>
    <row r="10" spans="1:21" x14ac:dyDescent="0.25">
      <c r="A10" s="7" t="s">
        <v>55</v>
      </c>
      <c r="B10" s="7" t="s">
        <v>46</v>
      </c>
      <c r="C10" s="7" t="s">
        <v>46</v>
      </c>
      <c r="D10" s="7">
        <v>2025</v>
      </c>
      <c r="E10" s="7">
        <v>2030</v>
      </c>
      <c r="F10" s="8"/>
      <c r="G10" s="8"/>
      <c r="H10" s="8"/>
      <c r="I10" s="8"/>
      <c r="J10" s="8"/>
      <c r="K10" s="8"/>
      <c r="L10" s="8"/>
      <c r="M10" s="8"/>
      <c r="N10" s="8"/>
      <c r="O10" s="8"/>
      <c r="P10" s="8"/>
      <c r="Q10" s="8"/>
      <c r="R10" s="8"/>
      <c r="S10" s="8"/>
      <c r="T10" s="8"/>
      <c r="U10" s="8"/>
    </row>
    <row r="11" spans="1:21" x14ac:dyDescent="0.25">
      <c r="A11" s="7" t="s">
        <v>56</v>
      </c>
      <c r="B11" s="7" t="s">
        <v>57</v>
      </c>
      <c r="C11" s="7" t="s">
        <v>46</v>
      </c>
      <c r="D11" s="7">
        <v>2025</v>
      </c>
      <c r="E11" s="7">
        <v>2030</v>
      </c>
      <c r="F11" s="8"/>
      <c r="G11" s="8"/>
      <c r="H11" s="8"/>
      <c r="I11" s="8"/>
      <c r="J11" s="8"/>
      <c r="K11" s="8"/>
      <c r="L11" s="8"/>
      <c r="M11" s="8"/>
      <c r="N11" s="8"/>
      <c r="O11" s="8"/>
      <c r="P11" s="8"/>
      <c r="Q11" s="8"/>
      <c r="R11" s="8"/>
      <c r="S11" s="8"/>
      <c r="T11" s="8"/>
      <c r="U11" s="8"/>
    </row>
    <row r="12" spans="1:21" x14ac:dyDescent="0.25">
      <c r="A12" s="7" t="s">
        <v>58</v>
      </c>
      <c r="B12" s="7" t="s">
        <v>59</v>
      </c>
      <c r="C12" s="7" t="s">
        <v>46</v>
      </c>
      <c r="D12" s="7">
        <v>2025</v>
      </c>
      <c r="E12" s="7">
        <v>2030</v>
      </c>
      <c r="F12" s="8"/>
      <c r="G12" s="8"/>
      <c r="H12" s="8"/>
      <c r="I12" s="8"/>
      <c r="J12" s="8"/>
      <c r="K12" s="8"/>
      <c r="L12" s="8"/>
      <c r="M12" s="8"/>
      <c r="N12" s="8"/>
      <c r="O12" s="8"/>
      <c r="P12" s="8"/>
      <c r="Q12" s="8"/>
      <c r="R12" s="8"/>
      <c r="S12" s="8"/>
      <c r="T12" s="8"/>
      <c r="U12" s="8"/>
    </row>
    <row r="13" spans="1:21" x14ac:dyDescent="0.25">
      <c r="A13" s="7" t="s">
        <v>60</v>
      </c>
      <c r="B13" s="7" t="s">
        <v>61</v>
      </c>
      <c r="C13" s="7" t="s">
        <v>46</v>
      </c>
      <c r="D13" s="7">
        <v>2025</v>
      </c>
      <c r="E13" s="7">
        <v>2030</v>
      </c>
      <c r="F13" s="8"/>
      <c r="G13" s="8"/>
      <c r="H13" s="8"/>
      <c r="I13" s="8"/>
      <c r="J13" s="8"/>
      <c r="K13" s="8"/>
      <c r="L13" s="8"/>
      <c r="M13" s="8"/>
      <c r="N13" s="8"/>
      <c r="O13" s="8"/>
      <c r="P13" s="8"/>
      <c r="Q13" s="8"/>
      <c r="R13" s="8"/>
      <c r="S13" s="8"/>
      <c r="T13" s="8"/>
      <c r="U13" s="8"/>
    </row>
    <row r="14" spans="1:21" x14ac:dyDescent="0.25">
      <c r="A14" s="7" t="s">
        <v>62</v>
      </c>
      <c r="B14" s="7" t="s">
        <v>63</v>
      </c>
      <c r="C14" s="7" t="s">
        <v>46</v>
      </c>
      <c r="D14" s="7">
        <v>2025</v>
      </c>
      <c r="E14" s="7">
        <v>2030</v>
      </c>
      <c r="F14" s="8"/>
      <c r="G14" s="8"/>
      <c r="H14" s="8"/>
      <c r="I14" s="8"/>
      <c r="J14" s="8"/>
      <c r="K14" s="8"/>
      <c r="L14" s="8"/>
      <c r="M14" s="8"/>
      <c r="N14" s="8"/>
      <c r="O14" s="8"/>
      <c r="P14" s="8"/>
      <c r="Q14" s="8"/>
      <c r="R14" s="8"/>
      <c r="S14" s="8"/>
      <c r="T14" s="8"/>
      <c r="U14" s="8"/>
    </row>
    <row r="15" spans="1:21" x14ac:dyDescent="0.25">
      <c r="A15" s="7" t="s">
        <v>64</v>
      </c>
      <c r="B15" s="7" t="s">
        <v>65</v>
      </c>
      <c r="C15" s="7" t="s">
        <v>46</v>
      </c>
      <c r="D15" s="7">
        <v>2025</v>
      </c>
      <c r="E15" s="7">
        <v>2030</v>
      </c>
      <c r="F15" s="8"/>
      <c r="G15" s="8"/>
      <c r="H15" s="8"/>
      <c r="I15" s="8"/>
      <c r="J15" s="8"/>
      <c r="K15" s="8"/>
      <c r="L15" s="8"/>
      <c r="M15" s="8"/>
      <c r="N15" s="8"/>
      <c r="O15" s="8"/>
      <c r="P15" s="8"/>
      <c r="Q15" s="8"/>
      <c r="R15" s="8"/>
      <c r="S15" s="8"/>
      <c r="T15" s="8"/>
      <c r="U15" s="8"/>
    </row>
    <row r="16" spans="1:21" x14ac:dyDescent="0.25">
      <c r="A16" s="7" t="s">
        <v>66</v>
      </c>
      <c r="B16" s="7" t="s">
        <v>67</v>
      </c>
      <c r="C16" s="7" t="s">
        <v>68</v>
      </c>
      <c r="D16" s="7">
        <v>2025</v>
      </c>
      <c r="E16" s="7">
        <v>2030</v>
      </c>
      <c r="F16" s="8"/>
      <c r="G16" s="8"/>
      <c r="H16" s="8"/>
      <c r="I16" s="8"/>
      <c r="J16" s="8"/>
      <c r="K16" s="8"/>
      <c r="L16" s="8"/>
      <c r="M16" s="8"/>
      <c r="N16" s="8"/>
      <c r="O16" s="8"/>
      <c r="P16" s="8"/>
      <c r="Q16" s="8"/>
      <c r="R16" s="8"/>
      <c r="S16" s="8"/>
      <c r="T16" s="8"/>
      <c r="U16" s="8"/>
    </row>
    <row r="17" spans="1:21" x14ac:dyDescent="0.25">
      <c r="A17" s="7" t="s">
        <v>69</v>
      </c>
      <c r="B17" s="7" t="s">
        <v>70</v>
      </c>
      <c r="C17" s="7" t="s">
        <v>68</v>
      </c>
      <c r="D17" s="7">
        <v>2025</v>
      </c>
      <c r="E17" s="7">
        <v>2030</v>
      </c>
      <c r="F17" s="8"/>
      <c r="G17" s="8"/>
      <c r="H17" s="8"/>
      <c r="I17" s="8"/>
      <c r="J17" s="8"/>
      <c r="K17" s="8"/>
      <c r="L17" s="8"/>
      <c r="M17" s="8"/>
      <c r="N17" s="8"/>
      <c r="O17" s="8"/>
      <c r="P17" s="8"/>
      <c r="Q17" s="8"/>
      <c r="R17" s="8"/>
      <c r="S17" s="8"/>
      <c r="T17" s="8"/>
      <c r="U17" s="8"/>
    </row>
    <row r="18" spans="1:21" x14ac:dyDescent="0.25">
      <c r="A18" s="7" t="s">
        <v>71</v>
      </c>
      <c r="B18" s="7" t="s">
        <v>72</v>
      </c>
      <c r="C18" s="7" t="s">
        <v>68</v>
      </c>
      <c r="D18" s="7">
        <v>2025</v>
      </c>
      <c r="E18" s="7">
        <v>2030</v>
      </c>
      <c r="F18" s="8"/>
      <c r="G18" s="8"/>
      <c r="H18" s="8"/>
      <c r="I18" s="8"/>
      <c r="J18" s="8"/>
      <c r="K18" s="8"/>
      <c r="L18" s="8"/>
      <c r="M18" s="8"/>
      <c r="N18" s="8"/>
      <c r="O18" s="8"/>
      <c r="P18" s="8"/>
      <c r="Q18" s="8"/>
      <c r="R18" s="8"/>
      <c r="S18" s="8"/>
      <c r="T18" s="8"/>
      <c r="U18" s="8"/>
    </row>
    <row r="19" spans="1:21" x14ac:dyDescent="0.25">
      <c r="A19" s="7" t="s">
        <v>73</v>
      </c>
      <c r="B19" s="7" t="s">
        <v>74</v>
      </c>
      <c r="C19" s="7" t="s">
        <v>68</v>
      </c>
      <c r="D19" s="7">
        <v>2025</v>
      </c>
      <c r="E19" s="7">
        <v>2030</v>
      </c>
      <c r="F19" s="8"/>
      <c r="G19" s="8"/>
      <c r="H19" s="8"/>
      <c r="I19" s="8"/>
      <c r="J19" s="8"/>
      <c r="K19" s="8"/>
      <c r="L19" s="8"/>
      <c r="M19" s="8"/>
      <c r="N19" s="8"/>
      <c r="O19" s="8"/>
      <c r="P19" s="8"/>
      <c r="Q19" s="8"/>
      <c r="R19" s="8"/>
      <c r="S19" s="8"/>
      <c r="T19" s="8"/>
      <c r="U19" s="8"/>
    </row>
    <row r="20" spans="1:21" x14ac:dyDescent="0.25">
      <c r="A20" s="7" t="s">
        <v>75</v>
      </c>
      <c r="B20" s="7" t="s">
        <v>76</v>
      </c>
      <c r="C20" s="7" t="s">
        <v>68</v>
      </c>
      <c r="D20" s="7">
        <v>2025</v>
      </c>
      <c r="E20" s="7">
        <v>2030</v>
      </c>
      <c r="F20" s="8"/>
      <c r="G20" s="8"/>
      <c r="H20" s="8"/>
      <c r="I20" s="8"/>
      <c r="J20" s="8"/>
      <c r="K20" s="8"/>
      <c r="L20" s="8"/>
      <c r="M20" s="8"/>
      <c r="N20" s="8"/>
      <c r="O20" s="8"/>
      <c r="P20" s="8"/>
      <c r="Q20" s="8"/>
      <c r="R20" s="8"/>
      <c r="S20" s="8"/>
      <c r="T20" s="8"/>
      <c r="U20" s="8"/>
    </row>
    <row r="21" spans="1:21" x14ac:dyDescent="0.25">
      <c r="A21" s="7" t="s">
        <v>77</v>
      </c>
      <c r="B21" s="7" t="s">
        <v>78</v>
      </c>
      <c r="C21" s="7" t="s">
        <v>68</v>
      </c>
      <c r="D21" s="7">
        <v>2025</v>
      </c>
      <c r="E21" s="7">
        <v>2030</v>
      </c>
      <c r="F21" s="8"/>
      <c r="G21" s="8"/>
      <c r="H21" s="8"/>
      <c r="I21" s="8"/>
      <c r="J21" s="8"/>
      <c r="K21" s="8"/>
      <c r="L21" s="8"/>
      <c r="M21" s="8"/>
      <c r="N21" s="8"/>
      <c r="O21" s="8"/>
      <c r="P21" s="8"/>
      <c r="Q21" s="8"/>
      <c r="R21" s="8"/>
      <c r="S21" s="8"/>
      <c r="T21" s="8"/>
      <c r="U21" s="8"/>
    </row>
    <row r="22" spans="1:21" x14ac:dyDescent="0.25">
      <c r="A22" s="7" t="s">
        <v>79</v>
      </c>
      <c r="B22" s="7" t="s">
        <v>80</v>
      </c>
      <c r="C22" s="7" t="s">
        <v>68</v>
      </c>
      <c r="D22" s="7">
        <v>2025</v>
      </c>
      <c r="E22" s="7">
        <v>2030</v>
      </c>
      <c r="F22" s="8"/>
      <c r="G22" s="8"/>
      <c r="H22" s="8"/>
      <c r="I22" s="8"/>
      <c r="J22" s="8"/>
      <c r="K22" s="8"/>
      <c r="L22" s="8"/>
      <c r="M22" s="8"/>
      <c r="N22" s="8"/>
      <c r="O22" s="8"/>
      <c r="P22" s="8"/>
      <c r="Q22" s="8"/>
      <c r="R22" s="8"/>
      <c r="S22" s="8"/>
      <c r="T22" s="8"/>
      <c r="U22" s="8"/>
    </row>
    <row r="23" spans="1:21" x14ac:dyDescent="0.25">
      <c r="A23" s="7" t="s">
        <v>81</v>
      </c>
      <c r="B23" s="7" t="s">
        <v>82</v>
      </c>
      <c r="C23" s="7" t="s">
        <v>68</v>
      </c>
      <c r="D23" s="7">
        <v>2025</v>
      </c>
      <c r="E23" s="7">
        <v>2030</v>
      </c>
      <c r="F23" s="8"/>
      <c r="G23" s="8"/>
      <c r="H23" s="8"/>
      <c r="I23" s="8"/>
      <c r="J23" s="8"/>
      <c r="K23" s="8"/>
      <c r="L23" s="8"/>
      <c r="M23" s="8"/>
      <c r="N23" s="8"/>
      <c r="O23" s="8"/>
      <c r="P23" s="8"/>
      <c r="Q23" s="8"/>
      <c r="R23" s="8"/>
      <c r="S23" s="8"/>
      <c r="T23" s="8"/>
      <c r="U23" s="8"/>
    </row>
    <row r="24" spans="1:21" x14ac:dyDescent="0.25">
      <c r="A24" s="7" t="s">
        <v>83</v>
      </c>
      <c r="B24" s="7" t="s">
        <v>84</v>
      </c>
      <c r="C24" s="7" t="s">
        <v>68</v>
      </c>
      <c r="D24" s="7">
        <v>2025</v>
      </c>
      <c r="E24" s="7">
        <v>2030</v>
      </c>
      <c r="F24" s="8"/>
      <c r="G24" s="8"/>
      <c r="H24" s="8"/>
      <c r="I24" s="8"/>
      <c r="J24" s="8"/>
      <c r="K24" s="8"/>
      <c r="L24" s="8"/>
      <c r="M24" s="8"/>
      <c r="N24" s="8"/>
      <c r="O24" s="8"/>
      <c r="P24" s="8"/>
      <c r="Q24" s="8"/>
      <c r="R24" s="8"/>
      <c r="S24" s="8"/>
      <c r="T24" s="8"/>
      <c r="U24" s="8"/>
    </row>
    <row r="25" spans="1:21" x14ac:dyDescent="0.25">
      <c r="A25" s="7" t="s">
        <v>85</v>
      </c>
      <c r="B25" s="7" t="s">
        <v>86</v>
      </c>
      <c r="C25" s="7" t="s">
        <v>68</v>
      </c>
      <c r="D25" s="7">
        <v>2025</v>
      </c>
      <c r="E25" s="7">
        <v>2030</v>
      </c>
      <c r="F25" s="8"/>
      <c r="G25" s="8"/>
      <c r="H25" s="8"/>
      <c r="I25" s="8"/>
      <c r="J25" s="8"/>
      <c r="K25" s="8"/>
      <c r="L25" s="8"/>
      <c r="M25" s="8"/>
      <c r="N25" s="8"/>
      <c r="O25" s="8"/>
      <c r="P25" s="8"/>
      <c r="Q25" s="8"/>
      <c r="R25" s="8"/>
      <c r="S25" s="8"/>
      <c r="T25" s="8"/>
      <c r="U25" s="8"/>
    </row>
    <row r="26" spans="1:21" x14ac:dyDescent="0.25">
      <c r="A26" s="7" t="s">
        <v>87</v>
      </c>
      <c r="B26" s="7" t="s">
        <v>88</v>
      </c>
      <c r="C26" s="7" t="s">
        <v>68</v>
      </c>
      <c r="D26" s="7">
        <v>2025</v>
      </c>
      <c r="E26" s="7">
        <v>2030</v>
      </c>
      <c r="F26" s="8"/>
      <c r="G26" s="8"/>
      <c r="H26" s="8"/>
      <c r="I26" s="8"/>
      <c r="J26" s="8"/>
      <c r="K26" s="8"/>
      <c r="L26" s="8"/>
      <c r="M26" s="8"/>
      <c r="N26" s="8"/>
      <c r="O26" s="8"/>
      <c r="P26" s="8"/>
      <c r="Q26" s="8"/>
      <c r="R26" s="8"/>
      <c r="S26" s="8"/>
      <c r="T26" s="8"/>
      <c r="U26" s="8"/>
    </row>
    <row r="27" spans="1:21" x14ac:dyDescent="0.25">
      <c r="A27" s="7" t="s">
        <v>89</v>
      </c>
      <c r="B27" s="7" t="s">
        <v>90</v>
      </c>
      <c r="C27" s="7" t="s">
        <v>68</v>
      </c>
      <c r="D27" s="7">
        <v>2025</v>
      </c>
      <c r="E27" s="7">
        <v>2030</v>
      </c>
      <c r="F27" s="8"/>
      <c r="G27" s="8"/>
      <c r="H27" s="8"/>
      <c r="I27" s="8"/>
      <c r="J27" s="8"/>
      <c r="K27" s="8"/>
      <c r="L27" s="8"/>
      <c r="M27" s="8"/>
      <c r="N27" s="8"/>
      <c r="O27" s="8"/>
      <c r="P27" s="8"/>
      <c r="Q27" s="8"/>
      <c r="R27" s="8"/>
      <c r="S27" s="8"/>
      <c r="T27" s="8"/>
      <c r="U27" s="8"/>
    </row>
    <row r="28" spans="1:21" x14ac:dyDescent="0.25">
      <c r="A28" s="7" t="s">
        <v>91</v>
      </c>
      <c r="B28" s="7" t="s">
        <v>92</v>
      </c>
      <c r="C28" s="7" t="s">
        <v>68</v>
      </c>
      <c r="D28" s="7">
        <v>2025</v>
      </c>
      <c r="E28" s="7">
        <v>2030</v>
      </c>
      <c r="F28" s="8"/>
      <c r="G28" s="8"/>
      <c r="H28" s="8"/>
      <c r="I28" s="8"/>
      <c r="J28" s="8"/>
      <c r="K28" s="8"/>
      <c r="L28" s="8"/>
      <c r="M28" s="8"/>
      <c r="N28" s="8"/>
      <c r="O28" s="8"/>
      <c r="P28" s="8"/>
      <c r="Q28" s="8"/>
      <c r="R28" s="8"/>
      <c r="S28" s="8"/>
      <c r="T28" s="8"/>
      <c r="U28" s="8"/>
    </row>
    <row r="29" spans="1:21" x14ac:dyDescent="0.25">
      <c r="A29" s="7" t="s">
        <v>93</v>
      </c>
      <c r="B29" s="7" t="s">
        <v>94</v>
      </c>
      <c r="C29" s="7" t="s">
        <v>68</v>
      </c>
      <c r="D29" s="7">
        <v>2025</v>
      </c>
      <c r="E29" s="7">
        <v>2030</v>
      </c>
      <c r="F29" s="8"/>
      <c r="G29" s="8"/>
      <c r="H29" s="8"/>
      <c r="I29" s="8"/>
      <c r="J29" s="8"/>
      <c r="K29" s="8"/>
      <c r="L29" s="8"/>
      <c r="M29" s="8"/>
      <c r="N29" s="8"/>
      <c r="O29" s="8"/>
      <c r="P29" s="8"/>
      <c r="Q29" s="8"/>
      <c r="R29" s="8"/>
      <c r="S29" s="8"/>
      <c r="T29" s="8"/>
      <c r="U29" s="8"/>
    </row>
    <row r="30" spans="1:21" x14ac:dyDescent="0.25">
      <c r="A30" s="7" t="s">
        <v>95</v>
      </c>
      <c r="B30" s="7" t="s">
        <v>96</v>
      </c>
      <c r="C30" s="7" t="s">
        <v>68</v>
      </c>
      <c r="D30" s="7">
        <v>2025</v>
      </c>
      <c r="E30" s="7">
        <v>2030</v>
      </c>
      <c r="F30" s="8"/>
      <c r="G30" s="8"/>
      <c r="H30" s="8"/>
      <c r="I30" s="8"/>
      <c r="J30" s="8"/>
      <c r="K30" s="8"/>
      <c r="L30" s="8"/>
      <c r="M30" s="8"/>
      <c r="N30" s="8"/>
      <c r="O30" s="8"/>
      <c r="P30" s="8"/>
      <c r="Q30" s="8"/>
      <c r="R30" s="8"/>
      <c r="S30" s="8"/>
      <c r="T30" s="8"/>
      <c r="U30" s="8"/>
    </row>
    <row r="31" spans="1:21" x14ac:dyDescent="0.25">
      <c r="A31" s="7" t="s">
        <v>97</v>
      </c>
      <c r="B31" s="7" t="s">
        <v>98</v>
      </c>
      <c r="C31" s="7" t="s">
        <v>68</v>
      </c>
      <c r="D31" s="7">
        <v>2025</v>
      </c>
      <c r="E31" s="7">
        <v>2030</v>
      </c>
      <c r="F31" s="8"/>
      <c r="G31" s="8"/>
      <c r="H31" s="8"/>
      <c r="I31" s="8"/>
      <c r="J31" s="8"/>
      <c r="K31" s="8"/>
      <c r="L31" s="8"/>
      <c r="M31" s="8"/>
      <c r="N31" s="8"/>
      <c r="O31" s="8"/>
      <c r="P31" s="8"/>
      <c r="Q31" s="8"/>
      <c r="R31" s="8"/>
      <c r="S31" s="8"/>
      <c r="T31" s="8"/>
      <c r="U31" s="8"/>
    </row>
    <row r="32" spans="1:21" x14ac:dyDescent="0.25">
      <c r="A32" s="7" t="s">
        <v>99</v>
      </c>
      <c r="B32" s="7" t="s">
        <v>68</v>
      </c>
      <c r="C32" s="7" t="s">
        <v>68</v>
      </c>
      <c r="D32" s="7">
        <v>2025</v>
      </c>
      <c r="E32" s="7">
        <v>2030</v>
      </c>
      <c r="F32" s="8"/>
      <c r="G32" s="8"/>
      <c r="H32" s="8"/>
      <c r="I32" s="8"/>
      <c r="J32" s="8"/>
      <c r="K32" s="8"/>
      <c r="L32" s="8"/>
      <c r="M32" s="8"/>
      <c r="N32" s="8"/>
      <c r="O32" s="8"/>
      <c r="P32" s="8"/>
      <c r="Q32" s="8"/>
      <c r="R32" s="8"/>
      <c r="S32" s="8"/>
      <c r="T32" s="8"/>
      <c r="U32" s="8"/>
    </row>
    <row r="33" spans="1:21" x14ac:dyDescent="0.25">
      <c r="A33" s="7" t="s">
        <v>100</v>
      </c>
      <c r="B33" s="7" t="s">
        <v>101</v>
      </c>
      <c r="C33" s="7" t="s">
        <v>68</v>
      </c>
      <c r="D33" s="7">
        <v>2025</v>
      </c>
      <c r="E33" s="7">
        <v>2030</v>
      </c>
      <c r="F33" s="8"/>
      <c r="G33" s="8"/>
      <c r="H33" s="8"/>
      <c r="I33" s="8"/>
      <c r="J33" s="8"/>
      <c r="K33" s="8"/>
      <c r="L33" s="8"/>
      <c r="M33" s="8"/>
      <c r="N33" s="8"/>
      <c r="O33" s="8"/>
      <c r="P33" s="8"/>
      <c r="Q33" s="8"/>
      <c r="R33" s="8"/>
      <c r="S33" s="8"/>
      <c r="T33" s="8"/>
      <c r="U33" s="8"/>
    </row>
  </sheetData>
  <mergeCells count="1">
    <mergeCell ref="A1:U1"/>
  </mergeCells>
  <dataValidations count="1">
    <dataValidation type="decimal" operator="greaterThanOrEqual" allowBlank="1" errorTitle="Invalid value" error="Raw values must be numbers &gt;= 0."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0"/>
  <sheetViews>
    <sheetView topLeftCell="A7" workbookViewId="0">
      <selection activeCell="B22" sqref="B22"/>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93" bestFit="1" customWidth="1"/>
  </cols>
  <sheetData>
    <row r="1" spans="1:7" ht="16.5" x14ac:dyDescent="0.25">
      <c r="A1" s="1" t="s">
        <v>104</v>
      </c>
    </row>
    <row r="2" spans="1:7" ht="62.1" customHeight="1" x14ac:dyDescent="0.25">
      <c r="A2" s="20" t="s">
        <v>105</v>
      </c>
      <c r="B2" s="19"/>
      <c r="C2" s="19"/>
      <c r="D2" s="19"/>
      <c r="E2" s="19"/>
      <c r="F2" s="19"/>
    </row>
    <row r="3" spans="1:7" ht="25.5" x14ac:dyDescent="0.25">
      <c r="A3" s="9" t="s">
        <v>106</v>
      </c>
      <c r="B3" s="9" t="s">
        <v>107</v>
      </c>
      <c r="C3" s="9" t="s">
        <v>108</v>
      </c>
      <c r="D3" s="9" t="s">
        <v>109</v>
      </c>
      <c r="E3" s="9" t="s">
        <v>110</v>
      </c>
      <c r="F3" s="9" t="s">
        <v>111</v>
      </c>
      <c r="G3" s="22" t="s">
        <v>176</v>
      </c>
    </row>
    <row r="4" spans="1:7" ht="25.5" x14ac:dyDescent="0.25">
      <c r="A4" s="10" t="s">
        <v>6</v>
      </c>
      <c r="B4" s="10" t="s">
        <v>112</v>
      </c>
      <c r="C4" s="10" t="s">
        <v>113</v>
      </c>
      <c r="D4" s="10" t="s">
        <v>114</v>
      </c>
      <c r="E4" s="10">
        <v>50</v>
      </c>
      <c r="F4" s="11">
        <v>50</v>
      </c>
      <c r="G4" s="21" t="s">
        <v>174</v>
      </c>
    </row>
    <row r="5" spans="1:7" x14ac:dyDescent="0.25">
      <c r="A5" s="12" t="s">
        <v>7</v>
      </c>
      <c r="B5" s="12" t="s">
        <v>115</v>
      </c>
      <c r="C5" s="12" t="s">
        <v>113</v>
      </c>
      <c r="D5" s="12"/>
      <c r="E5" s="12"/>
      <c r="F5" s="11"/>
    </row>
    <row r="6" spans="1:7" x14ac:dyDescent="0.25">
      <c r="A6" s="10" t="s">
        <v>8</v>
      </c>
      <c r="B6" s="10" t="s">
        <v>116</v>
      </c>
      <c r="C6" s="10" t="s">
        <v>113</v>
      </c>
      <c r="D6" s="10" t="s">
        <v>114</v>
      </c>
      <c r="E6" s="10">
        <v>5</v>
      </c>
      <c r="F6" s="11">
        <v>5</v>
      </c>
      <c r="G6" s="21" t="s">
        <v>174</v>
      </c>
    </row>
    <row r="7" spans="1:7" x14ac:dyDescent="0.25">
      <c r="A7" s="10" t="s">
        <v>9</v>
      </c>
      <c r="B7" s="10" t="s">
        <v>117</v>
      </c>
      <c r="C7" s="10" t="s">
        <v>113</v>
      </c>
      <c r="D7" s="10" t="s">
        <v>114</v>
      </c>
      <c r="E7" s="10">
        <v>10</v>
      </c>
      <c r="F7" s="11">
        <v>10</v>
      </c>
      <c r="G7" s="21" t="s">
        <v>174</v>
      </c>
    </row>
    <row r="8" spans="1:7" ht="38.25" x14ac:dyDescent="0.25">
      <c r="A8" s="10" t="s">
        <v>10</v>
      </c>
      <c r="B8" s="10" t="s">
        <v>118</v>
      </c>
      <c r="C8" s="10" t="s">
        <v>113</v>
      </c>
      <c r="D8" s="10" t="s">
        <v>114</v>
      </c>
      <c r="E8" s="10">
        <v>35</v>
      </c>
      <c r="F8" s="11">
        <v>35</v>
      </c>
      <c r="G8" s="21" t="s">
        <v>177</v>
      </c>
    </row>
    <row r="9" spans="1:7" x14ac:dyDescent="0.25">
      <c r="A9" s="10" t="s">
        <v>11</v>
      </c>
      <c r="B9" s="10" t="s">
        <v>187</v>
      </c>
      <c r="C9" s="10" t="s">
        <v>120</v>
      </c>
      <c r="D9" s="10" t="s">
        <v>114</v>
      </c>
      <c r="E9" s="10">
        <v>15</v>
      </c>
      <c r="F9" s="11">
        <v>15</v>
      </c>
      <c r="G9" s="21" t="s">
        <v>178</v>
      </c>
    </row>
    <row r="10" spans="1:7" x14ac:dyDescent="0.25">
      <c r="A10" s="10" t="s">
        <v>12</v>
      </c>
      <c r="B10" s="10" t="s">
        <v>186</v>
      </c>
      <c r="C10" s="10" t="s">
        <v>120</v>
      </c>
      <c r="D10" s="10" t="s">
        <v>114</v>
      </c>
      <c r="E10" s="10">
        <v>15</v>
      </c>
      <c r="F10" s="11">
        <v>15</v>
      </c>
      <c r="G10" s="21" t="s">
        <v>178</v>
      </c>
    </row>
    <row r="11" spans="1:7" x14ac:dyDescent="0.25">
      <c r="A11" s="10" t="s">
        <v>13</v>
      </c>
      <c r="B11" s="10" t="s">
        <v>185</v>
      </c>
      <c r="C11" s="10" t="s">
        <v>120</v>
      </c>
      <c r="D11" s="10" t="s">
        <v>114</v>
      </c>
      <c r="E11" s="10">
        <v>45</v>
      </c>
      <c r="F11" s="11">
        <v>45</v>
      </c>
      <c r="G11" s="21" t="s">
        <v>178</v>
      </c>
    </row>
    <row r="12" spans="1:7" x14ac:dyDescent="0.25">
      <c r="A12" s="10" t="s">
        <v>14</v>
      </c>
      <c r="B12" s="10" t="s">
        <v>123</v>
      </c>
      <c r="C12" s="10" t="s">
        <v>120</v>
      </c>
      <c r="D12" s="10" t="s">
        <v>114</v>
      </c>
      <c r="E12" s="10">
        <v>15</v>
      </c>
      <c r="F12" s="11">
        <v>15</v>
      </c>
      <c r="G12" s="21" t="s">
        <v>175</v>
      </c>
    </row>
    <row r="13" spans="1:7" x14ac:dyDescent="0.25">
      <c r="A13" s="12" t="s">
        <v>15</v>
      </c>
      <c r="B13" s="12" t="s">
        <v>184</v>
      </c>
      <c r="C13" s="12" t="s">
        <v>120</v>
      </c>
      <c r="D13" s="12"/>
      <c r="E13" s="12"/>
      <c r="F13" s="11"/>
    </row>
    <row r="14" spans="1:7" x14ac:dyDescent="0.25">
      <c r="A14" s="10" t="s">
        <v>16</v>
      </c>
      <c r="B14" s="10" t="s">
        <v>183</v>
      </c>
      <c r="C14" s="10" t="s">
        <v>120</v>
      </c>
      <c r="D14" s="10" t="s">
        <v>114</v>
      </c>
      <c r="E14" s="10">
        <v>5</v>
      </c>
      <c r="F14" s="11">
        <v>5</v>
      </c>
      <c r="G14" s="21" t="s">
        <v>179</v>
      </c>
    </row>
    <row r="15" spans="1:7" x14ac:dyDescent="0.25">
      <c r="A15" s="10" t="s">
        <v>17</v>
      </c>
      <c r="B15" s="10" t="s">
        <v>126</v>
      </c>
      <c r="C15" s="10" t="s">
        <v>120</v>
      </c>
      <c r="D15" s="10" t="s">
        <v>41</v>
      </c>
      <c r="E15" s="10">
        <v>5</v>
      </c>
      <c r="F15" s="11">
        <v>5</v>
      </c>
      <c r="G15" s="21" t="s">
        <v>180</v>
      </c>
    </row>
    <row r="16" spans="1:7" x14ac:dyDescent="0.25">
      <c r="A16" s="12" t="s">
        <v>18</v>
      </c>
      <c r="B16" s="12" t="s">
        <v>182</v>
      </c>
      <c r="C16" s="12" t="s">
        <v>120</v>
      </c>
      <c r="D16" s="12"/>
      <c r="E16" s="12"/>
      <c r="F16" s="11"/>
    </row>
    <row r="17" spans="1:6" x14ac:dyDescent="0.25">
      <c r="A17" s="12" t="s">
        <v>19</v>
      </c>
      <c r="B17" s="12" t="s">
        <v>181</v>
      </c>
      <c r="C17" s="12" t="s">
        <v>120</v>
      </c>
      <c r="D17" s="12"/>
      <c r="E17" s="12"/>
      <c r="F17" s="11"/>
    </row>
    <row r="19" spans="1:6" x14ac:dyDescent="0.25">
      <c r="A19" s="13" t="s">
        <v>129</v>
      </c>
      <c r="F19" s="14">
        <f>F4+F5+F6+F7+F8</f>
        <v>100</v>
      </c>
    </row>
    <row r="20" spans="1:6" x14ac:dyDescent="0.25">
      <c r="A20" s="13" t="s">
        <v>130</v>
      </c>
      <c r="F20" s="14">
        <f>F9+F10+F11+F12+F13+F14+F15+F16+F17</f>
        <v>100</v>
      </c>
    </row>
  </sheetData>
  <mergeCells count="1">
    <mergeCell ref="A2:F2"/>
  </mergeCells>
  <dataValidations count="1">
    <dataValidation type="decimal" allowBlank="1" errorTitle="Invalid weight" error="Weight must be between 0 and 100." sqref="F4:F17"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1"/>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131</v>
      </c>
    </row>
    <row r="2" spans="1:1" x14ac:dyDescent="0.25">
      <c r="A2" s="15" t="s">
        <v>132</v>
      </c>
    </row>
    <row r="4" spans="1:1" x14ac:dyDescent="0.25">
      <c r="A4" s="16" t="s">
        <v>133</v>
      </c>
    </row>
    <row r="5" spans="1:1" x14ac:dyDescent="0.25">
      <c r="A5" s="16" t="s">
        <v>134</v>
      </c>
    </row>
    <row r="6" spans="1:1" x14ac:dyDescent="0.25">
      <c r="A6" s="16" t="s">
        <v>135</v>
      </c>
    </row>
    <row r="7" spans="1:1" x14ac:dyDescent="0.25">
      <c r="A7" s="17" t="s">
        <v>136</v>
      </c>
    </row>
    <row r="8" spans="1:1" x14ac:dyDescent="0.25">
      <c r="A8" s="16" t="s">
        <v>137</v>
      </c>
    </row>
    <row r="9" spans="1:1" x14ac:dyDescent="0.25">
      <c r="A9" s="16" t="s">
        <v>138</v>
      </c>
    </row>
    <row r="10" spans="1:1" x14ac:dyDescent="0.25">
      <c r="A10" s="16" t="s">
        <v>139</v>
      </c>
    </row>
    <row r="11" spans="1:1" x14ac:dyDescent="0.25">
      <c r="A11" s="16" t="s">
        <v>140</v>
      </c>
    </row>
    <row r="12" spans="1:1" x14ac:dyDescent="0.25">
      <c r="A12" s="16" t="s">
        <v>141</v>
      </c>
    </row>
    <row r="14" spans="1:1" x14ac:dyDescent="0.25">
      <c r="A14" s="17" t="s">
        <v>142</v>
      </c>
    </row>
    <row r="16" spans="1:1" ht="16.5" x14ac:dyDescent="0.25">
      <c r="A16" s="1" t="s">
        <v>143</v>
      </c>
    </row>
    <row r="17" spans="1:6" x14ac:dyDescent="0.25">
      <c r="A17" s="2" t="s">
        <v>144</v>
      </c>
      <c r="B17" s="2" t="s">
        <v>107</v>
      </c>
      <c r="C17" s="2" t="s">
        <v>108</v>
      </c>
      <c r="D17" s="2" t="s">
        <v>145</v>
      </c>
      <c r="E17" s="2" t="s">
        <v>110</v>
      </c>
      <c r="F17" s="2" t="s">
        <v>146</v>
      </c>
    </row>
    <row r="18" spans="1:6" ht="25.5" x14ac:dyDescent="0.25">
      <c r="A18" s="10" t="s">
        <v>6</v>
      </c>
      <c r="B18" s="10" t="s">
        <v>112</v>
      </c>
      <c r="C18" s="10" t="s">
        <v>113</v>
      </c>
      <c r="D18" s="10" t="s">
        <v>114</v>
      </c>
      <c r="E18" s="10">
        <v>50</v>
      </c>
      <c r="F18" s="10" t="s">
        <v>147</v>
      </c>
    </row>
    <row r="19" spans="1:6" x14ac:dyDescent="0.25">
      <c r="A19" s="10" t="s">
        <v>7</v>
      </c>
      <c r="B19" s="10" t="s">
        <v>115</v>
      </c>
      <c r="C19" s="10" t="s">
        <v>113</v>
      </c>
      <c r="D19" s="10"/>
      <c r="E19" s="10"/>
      <c r="F19" s="10" t="s">
        <v>147</v>
      </c>
    </row>
    <row r="20" spans="1:6" x14ac:dyDescent="0.25">
      <c r="A20" s="10" t="s">
        <v>8</v>
      </c>
      <c r="B20" s="10" t="s">
        <v>116</v>
      </c>
      <c r="C20" s="10" t="s">
        <v>113</v>
      </c>
      <c r="D20" s="10" t="s">
        <v>114</v>
      </c>
      <c r="E20" s="10">
        <v>5</v>
      </c>
      <c r="F20" s="10" t="s">
        <v>147</v>
      </c>
    </row>
    <row r="21" spans="1:6" x14ac:dyDescent="0.25">
      <c r="A21" s="10" t="s">
        <v>9</v>
      </c>
      <c r="B21" s="10" t="s">
        <v>117</v>
      </c>
      <c r="C21" s="10" t="s">
        <v>113</v>
      </c>
      <c r="D21" s="10" t="s">
        <v>114</v>
      </c>
      <c r="E21" s="10">
        <v>10</v>
      </c>
      <c r="F21" s="10" t="s">
        <v>147</v>
      </c>
    </row>
    <row r="22" spans="1:6" ht="38.25" x14ac:dyDescent="0.25">
      <c r="A22" s="10" t="s">
        <v>10</v>
      </c>
      <c r="B22" s="10" t="s">
        <v>118</v>
      </c>
      <c r="C22" s="10" t="s">
        <v>113</v>
      </c>
      <c r="D22" s="10" t="s">
        <v>114</v>
      </c>
      <c r="E22" s="10">
        <v>35</v>
      </c>
      <c r="F22" s="10" t="s">
        <v>148</v>
      </c>
    </row>
    <row r="23" spans="1:6" x14ac:dyDescent="0.25">
      <c r="A23" s="10" t="s">
        <v>11</v>
      </c>
      <c r="B23" s="10" t="s">
        <v>119</v>
      </c>
      <c r="C23" s="10" t="s">
        <v>120</v>
      </c>
      <c r="D23" s="10" t="s">
        <v>114</v>
      </c>
      <c r="E23" s="10">
        <v>15</v>
      </c>
      <c r="F23" s="10" t="s">
        <v>148</v>
      </c>
    </row>
    <row r="24" spans="1:6" x14ac:dyDescent="0.25">
      <c r="A24" s="10" t="s">
        <v>12</v>
      </c>
      <c r="B24" s="10" t="s">
        <v>121</v>
      </c>
      <c r="C24" s="10" t="s">
        <v>120</v>
      </c>
      <c r="D24" s="10" t="s">
        <v>114</v>
      </c>
      <c r="E24" s="10">
        <v>15</v>
      </c>
      <c r="F24" s="10" t="s">
        <v>148</v>
      </c>
    </row>
    <row r="25" spans="1:6" x14ac:dyDescent="0.25">
      <c r="A25" s="10" t="s">
        <v>13</v>
      </c>
      <c r="B25" s="10" t="s">
        <v>122</v>
      </c>
      <c r="C25" s="10" t="s">
        <v>120</v>
      </c>
      <c r="D25" s="10" t="s">
        <v>114</v>
      </c>
      <c r="E25" s="10">
        <v>45</v>
      </c>
      <c r="F25" s="10" t="s">
        <v>148</v>
      </c>
    </row>
    <row r="26" spans="1:6" x14ac:dyDescent="0.25">
      <c r="A26" s="10" t="s">
        <v>14</v>
      </c>
      <c r="B26" s="10" t="s">
        <v>123</v>
      </c>
      <c r="C26" s="10" t="s">
        <v>120</v>
      </c>
      <c r="D26" s="10" t="s">
        <v>114</v>
      </c>
      <c r="E26" s="10">
        <v>15</v>
      </c>
      <c r="F26" s="10" t="s">
        <v>148</v>
      </c>
    </row>
    <row r="27" spans="1:6" x14ac:dyDescent="0.25">
      <c r="A27" s="10" t="s">
        <v>15</v>
      </c>
      <c r="B27" s="10" t="s">
        <v>124</v>
      </c>
      <c r="C27" s="10" t="s">
        <v>120</v>
      </c>
      <c r="D27" s="10"/>
      <c r="E27" s="10"/>
      <c r="F27" s="10" t="s">
        <v>148</v>
      </c>
    </row>
    <row r="28" spans="1:6" x14ac:dyDescent="0.25">
      <c r="A28" s="10" t="s">
        <v>16</v>
      </c>
      <c r="B28" s="10" t="s">
        <v>125</v>
      </c>
      <c r="C28" s="10" t="s">
        <v>120</v>
      </c>
      <c r="D28" s="10" t="s">
        <v>114</v>
      </c>
      <c r="E28" s="10">
        <v>5</v>
      </c>
      <c r="F28" s="10" t="s">
        <v>148</v>
      </c>
    </row>
    <row r="29" spans="1:6" x14ac:dyDescent="0.25">
      <c r="A29" s="10" t="s">
        <v>17</v>
      </c>
      <c r="B29" s="10" t="s">
        <v>126</v>
      </c>
      <c r="C29" s="10" t="s">
        <v>120</v>
      </c>
      <c r="D29" s="10" t="s">
        <v>41</v>
      </c>
      <c r="E29" s="10">
        <v>5</v>
      </c>
      <c r="F29" s="10" t="s">
        <v>148</v>
      </c>
    </row>
    <row r="30" spans="1:6" x14ac:dyDescent="0.25">
      <c r="A30" s="10" t="s">
        <v>18</v>
      </c>
      <c r="B30" s="10" t="s">
        <v>127</v>
      </c>
      <c r="C30" s="10" t="s">
        <v>120</v>
      </c>
      <c r="D30" s="10"/>
      <c r="E30" s="10"/>
      <c r="F30" s="10" t="s">
        <v>148</v>
      </c>
    </row>
    <row r="31" spans="1:6" x14ac:dyDescent="0.25">
      <c r="A31" s="10" t="s">
        <v>19</v>
      </c>
      <c r="B31" s="10" t="s">
        <v>128</v>
      </c>
      <c r="C31" s="10" t="s">
        <v>120</v>
      </c>
      <c r="D31" s="10"/>
      <c r="E31" s="10"/>
      <c r="F31" s="10" t="s">
        <v>148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149</v>
      </c>
      <c r="B1" s="16" t="s">
        <v>150</v>
      </c>
    </row>
    <row r="2" spans="1:2" x14ac:dyDescent="0.25">
      <c r="A2" s="16" t="s">
        <v>151</v>
      </c>
      <c r="B2" s="16">
        <v>1</v>
      </c>
    </row>
    <row r="3" spans="1:2" x14ac:dyDescent="0.25">
      <c r="A3" s="16" t="s">
        <v>152</v>
      </c>
      <c r="B3" s="16" t="s">
        <v>153</v>
      </c>
    </row>
    <row r="4" spans="1:2" x14ac:dyDescent="0.25">
      <c r="A4" s="16" t="s">
        <v>154</v>
      </c>
      <c r="B4" s="16" t="s">
        <v>155</v>
      </c>
    </row>
    <row r="5" spans="1:2" x14ac:dyDescent="0.25">
      <c r="A5" s="16" t="s">
        <v>156</v>
      </c>
      <c r="B5" s="16"/>
    </row>
    <row r="6" spans="1:2" x14ac:dyDescent="0.25">
      <c r="A6" s="16" t="s">
        <v>113</v>
      </c>
      <c r="B6" s="16" t="s">
        <v>157</v>
      </c>
    </row>
    <row r="7" spans="1:2" x14ac:dyDescent="0.25">
      <c r="A7" s="16" t="s">
        <v>158</v>
      </c>
      <c r="B7" s="16" t="s">
        <v>159</v>
      </c>
    </row>
    <row r="8" spans="1:2" x14ac:dyDescent="0.25">
      <c r="A8" s="16" t="s">
        <v>160</v>
      </c>
      <c r="B8" s="16" t="s">
        <v>161</v>
      </c>
    </row>
    <row r="9" spans="1:2" x14ac:dyDescent="0.25">
      <c r="A9" s="16" t="s">
        <v>162</v>
      </c>
      <c r="B9" s="16" t="s">
        <v>163</v>
      </c>
    </row>
    <row r="10" spans="1:2" x14ac:dyDescent="0.25">
      <c r="A10" s="16" t="s">
        <v>164</v>
      </c>
      <c r="B10" s="16" t="s">
        <v>2</v>
      </c>
    </row>
    <row r="11" spans="1:2" x14ac:dyDescent="0.25">
      <c r="A11" s="16" t="s">
        <v>165</v>
      </c>
      <c r="B11" s="16" t="s">
        <v>166</v>
      </c>
    </row>
    <row r="12" spans="1:2" x14ac:dyDescent="0.25">
      <c r="A12" s="16" t="s">
        <v>167</v>
      </c>
      <c r="B12" s="16">
        <v>14</v>
      </c>
    </row>
    <row r="13" spans="1:2" x14ac:dyDescent="0.25">
      <c r="A13" s="16" t="s">
        <v>168</v>
      </c>
      <c r="B13" s="16" t="s">
        <v>169</v>
      </c>
    </row>
    <row r="14" spans="1:2" x14ac:dyDescent="0.25">
      <c r="A14" s="16" t="s">
        <v>170</v>
      </c>
      <c r="B14" s="16" t="s">
        <v>171</v>
      </c>
    </row>
    <row r="15" spans="1:2" x14ac:dyDescent="0.25">
      <c r="A15" s="16" t="s">
        <v>172</v>
      </c>
      <c r="B15" s="16" t="s">
        <v>173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2026-08-29T10:28:28Z</dcterms:created>
  <dcterms:modified xsi:type="dcterms:W3CDTF">2026-09-08T09:55:41Z</dcterms:modified>
</cp:coreProperties>
</file>