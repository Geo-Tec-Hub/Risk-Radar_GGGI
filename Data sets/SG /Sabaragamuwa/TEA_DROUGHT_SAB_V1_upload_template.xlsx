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00A59AED-1CFD-4F8B-B694-7F7F718A665C}"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3" l="1"/>
  <c r="F11" i="3"/>
</calcChain>
</file>

<file path=xl/sharedStrings.xml><?xml version="1.0" encoding="utf-8"?>
<sst xmlns="http://schemas.openxmlformats.org/spreadsheetml/2006/main" count="357" uniqueCount="160">
  <si>
    <t>RAW DATA 2020-2025 - Agriculture Sector / Tea - Drought - Sabaragamuwa Province   [profile TEA_DROUGHT_SAB_V1]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</si>
  <si>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</si>
  <si>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</si>
  <si>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</si>
  <si>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</si>
  <si>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</si>
  <si>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</si>
  <si>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</si>
  <si>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</si>
  <si>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</si>
  <si>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TEA_EXTENT</t>
  </si>
  <si>
    <t>TEA_FARMERS</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</si>
  <si>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</si>
  <si>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</si>
  <si>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</si>
  <si>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</si>
  <si>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</si>
  <si>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</si>
  <si>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Tea extent
&gt;&gt; enter a TYPICAL YEAR (not a total)</t>
  </si>
  <si>
    <t>exposure: No. of Tea farmers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</si>
  <si>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</si>
  <si>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</si>
  <si>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</si>
  <si>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</si>
  <si>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</si>
  <si>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</si>
  <si>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</si>
  <si>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</si>
  <si>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</si>
  <si>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</si>
  <si>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</si>
  <si>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</si>
  <si>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</si>
  <si>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</si>
  <si>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</si>
  <si>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</si>
  <si>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</si>
  <si>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</si>
  <si>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</si>
  <si>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</si>
  <si>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</si>
  <si>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</si>
  <si>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</si>
  <si>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</si>
  <si>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</si>
  <si>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</si>
  <si>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</si>
  <si>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</si>
  <si>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</si>
  <si>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</si>
  <si>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</si>
  <si>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</si>
  <si>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</si>
  <si>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</si>
  <si>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</si>
  <si>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</si>
  <si>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</si>
  <si>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</si>
  <si>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</si>
  <si>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</si>
  <si>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</si>
  <si>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</si>
  <si>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</si>
  <si>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</si>
  <si>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</si>
  <si>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</si>
  <si>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</si>
  <si>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</si>
  <si>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</si>
  <si>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</si>
  <si>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</si>
  <si>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</si>
  <si>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</si>
  <si>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</si>
  <si>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</si>
  <si>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</si>
  <si>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</si>
  <si>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</si>
  <si>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</si>
  <si>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</si>
  <si>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</si>
  <si>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</si>
  <si>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</si>
  <si>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</si>
  <si>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</si>
  <si>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Tea - Drought - Sabaragamuwa Province   [profile TEA_DROUGHT_SAB_V1]   |   Enter RAW values only - the system normalizes.</t>
  </si>
  <si>
    <t>Dept. report 2025-2030</t>
  </si>
  <si>
    <t>WEIGHTS - Agriculture Sector / Tea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</si>
  <si>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</si>
  <si>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</si>
  <si>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</si>
  <si>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</si>
  <si>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</si>
  <si>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</si>
  <si>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</si>
  <si>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</si>
  <si>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</si>
  <si>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</si>
  <si>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</si>
  <si>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</si>
  <si>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</si>
  <si>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Tea extent</t>
  </si>
  <si>
    <t>exposure</t>
  </si>
  <si>
    <t>No. of Tea farmers</t>
  </si>
  <si>
    <t>SUM - hazard (must equal 100)</t>
  </si>
  <si>
    <t>SUM - exposure (must equal 100)</t>
  </si>
  <si>
    <t>How to fill this template</t>
  </si>
  <si>
    <t>Profile: TEA_DROUGHT_SAB_V1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</si>
  <si>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</si>
  <si>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</si>
  <si>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</si>
  <si>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</si>
  <si>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</si>
  <si>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</si>
  <si>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</si>
  <si>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</si>
  <si>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</si>
  <si>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</si>
  <si>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</si>
  <si>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</si>
  <si>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</si>
  <si>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</si>
  <si>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</si>
  <si>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</si>
  <si>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</si>
  <si>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TEA_DROUGHT_SAB_V1</t>
  </si>
  <si>
    <t>version</t>
  </si>
  <si>
    <t>province</t>
  </si>
  <si>
    <t>Sabaragamuwa</t>
  </si>
  <si>
    <t>main_sector</t>
  </si>
  <si>
    <t>Agriculture Sector</t>
  </si>
  <si>
    <t>subsector</t>
  </si>
  <si>
    <t>Tea</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</si>
  <si>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</si>
  <si>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</si>
  <si>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</si>
  <si>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</si>
  <si>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</si>
  <si>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</si>
  <si>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</si>
  <si>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</si>
  <si>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</si>
  <si>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</si>
  <si>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</si>
  <si>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</si>
  <si>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</si>
  <si>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</si>
  <si>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DROUGHT_EVENTS_1974_TO_2022=fixed_window|DROUGHT_HAZARD_INDEX=fixed_window|OCCURRENCE_WARM_DAYS=fixed_window|STANDARD_PRECIPITATION_INDEX=fixed_window|TEA_EXTENT=average|TEA_FARMERS=average</t>
  </si>
  <si>
    <t>expected_columns</t>
  </si>
  <si>
    <t>DS_CODE|DS_DIVISION|DISTRICT|YEAR_START|YEAR_END|DROUGHT_EVENTS_1974_TO_2022|DROUGHT_HAZARD_INDEX|OCCURRENCE_WARM_DAYS|STANDARD_PRECIPITATION_INDEX|TEA_EXTENT|TEA_FARMERS|DATA_SOURCE|NOTES</t>
  </si>
  <si>
    <t>Disaster Management Centre, 2023</t>
  </si>
  <si>
    <t>Developed by Project (Based on Department of Meteorology, 2023)</t>
  </si>
  <si>
    <t>source</t>
  </si>
  <si>
    <t>Land Use Policy Planning Department, 2018</t>
  </si>
  <si>
    <t>Department of Census and Statistics, 2013/2014</t>
  </si>
  <si>
    <t>Tea extent (ha)</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</si>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</sst>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9">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0" xfId="0" applyFont="1" applyAlignment="1">
      <alignment vertical="top"/>
    </xf>
    <xf numFmtId="0" fontId="0" fillId="0" borderId="0" xfId="0" applyAlignment="1">
      <alignment vertical="top"/>
    </xf>
    <xf numFmtId="0" fontId="2" fillId="2" borderId="11" xfId="0" applyFont="1" applyFill="1" applyBorder="1" applyAlignment="1">
      <alignment vertical="top" wrapText="1"/>
    </xf>
    <xf numFmtId="164" fontId="0" fillId="6" borderId="1" xfId="0" applyNumberFormat="1" applyFill="1" applyBorder="1" applyProtection="1">
      <protection locked="0"/>
    </xf>
    <xf numFmtId="0" fontId="25" fillId="0" borderId="0" xfId="0" applyFont="1" applyAlignment="1">
      <alignment vertical="center"/>
    </xf>
    <xf numFmtId="0" fontId="5" fillId="0" borderId="0" xfId="0" applyFont="1" applyAlignment="1">
      <alignment vertical="center"/>
    </xf>
    <xf numFmtId="0" fontId="5" fillId="6" borderId="12" xfId="0" applyFont="1" applyFill="1" applyBorder="1" applyAlignment="1" applyProtection="1">
      <alignment vertical="top" wrapText="1"/>
      <protection locked="0"/>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tabSelected="1" workbookViewId="0">
      <pane xSplit="5" ySplit="3" topLeftCell="F4" activePane="bottomRight" state="frozen"/>
      <selection pane="topRight"/>
      <selection pane="bottomLeft"/>
      <selection pane="bottomRight" activeCell="F10" sqref="F10"/>
    </sheetView>
  </sheetViews>
  <sheetFormatPr defaultRowHeight="15" x14ac:dyDescent="0.25"/>
  <cols>
    <col min="1" max="1" width="14" customWidth="1"/>
    <col min="2" max="2" width="34" customWidth="1"/>
    <col min="3" max="3" width="16" customWidth="1"/>
    <col min="4" max="5" width="11" customWidth="1"/>
    <col min="6" max="14" width="16" customWidth="1"/>
  </cols>
  <sheetData>
    <row r="1" spans="1:14" ht="16.5" x14ac:dyDescent="0.25">
      <c r="A1" s="25" t="s">
        <v>0</v>
      </c>
      <c r="B1" s="26"/>
      <c r="C1" s="26"/>
      <c r="D1" s="26"/>
      <c r="E1" s="26"/>
      <c r="F1" s="26"/>
      <c r="G1" s="26"/>
      <c r="H1" s="26"/>
      <c r="I1" s="26"/>
      <c r="J1" s="26"/>
      <c r="K1" s="26"/>
      <c r="L1" s="26"/>
      <c r="M1" s="26"/>
      <c r="N1" s="26"/>
    </row>
    <row r="2" spans="1:14" x14ac:dyDescent="0.25">
      <c r="A2" s="2" t="s">
        <v>1</v>
      </c>
      <c r="B2" s="2" t="s">
        <v>2</v>
      </c>
      <c r="C2" s="2" t="s">
        <v>3</v>
      </c>
      <c r="D2" s="2" t="s">
        <v>4</v>
      </c>
      <c r="E2" s="2" t="s">
        <v>5</v>
      </c>
      <c r="F2" s="3" t="s">
        <v>156</v>
      </c>
      <c r="G2" s="3" t="s">
        <v>157</v>
      </c>
      <c r="H2" s="3" t="s">
        <v>7</v>
      </c>
      <c r="I2" s="3" t="s">
        <v>8</v>
      </c>
      <c r="J2" s="3" t="s">
        <v>9</v>
      </c>
      <c r="K2" s="4" t="s">
        <v>10</v>
      </c>
      <c r="L2" s="4" t="s">
        <v>11</v>
      </c>
      <c r="M2" s="2" t="s">
        <v>12</v>
      </c>
      <c r="N2" s="2" t="s">
        <v>13</v>
      </c>
    </row>
    <row r="3" spans="1:14" ht="45.95" customHeight="1" x14ac:dyDescent="0.25">
      <c r="A3" s="5" t="s">
        <v>14</v>
      </c>
      <c r="B3" s="5" t="s">
        <v>14</v>
      </c>
      <c r="C3" s="5" t="s">
        <v>14</v>
      </c>
      <c r="D3" s="5" t="s">
        <v>14</v>
      </c>
      <c r="E3" s="5" t="s">
        <v>14</v>
      </c>
      <c r="F3" s="28" t="s">
        <v>158</v>
      </c>
      <c r="G3" s="28" t="s">
        <v>159</v>
      </c>
      <c r="H3" s="5" t="s">
        <v>15</v>
      </c>
      <c r="I3" s="5" t="s">
        <v>16</v>
      </c>
      <c r="J3" s="5" t="s">
        <v>17</v>
      </c>
      <c r="K3" s="5" t="s">
        <v>18</v>
      </c>
      <c r="L3" s="5" t="s">
        <v>19</v>
      </c>
      <c r="M3" s="5" t="s">
        <v>20</v>
      </c>
      <c r="N3" s="5" t="s">
        <v>21</v>
      </c>
    </row>
    <row r="4" spans="1:14" x14ac:dyDescent="0.25">
      <c r="A4" s="6" t="s">
        <v>22</v>
      </c>
      <c r="B4" s="6" t="s">
        <v>23</v>
      </c>
      <c r="C4" s="6" t="s">
        <v>24</v>
      </c>
      <c r="D4" s="6">
        <v>2020</v>
      </c>
      <c r="E4" s="6">
        <v>2025</v>
      </c>
      <c r="F4" s="6">
        <v>100</v>
      </c>
      <c r="G4" s="6"/>
      <c r="H4" s="6">
        <v>137.5</v>
      </c>
      <c r="I4" s="6">
        <v>175</v>
      </c>
      <c r="J4" s="6">
        <v>212.5</v>
      </c>
      <c r="K4" s="6">
        <v>250</v>
      </c>
      <c r="L4" s="6">
        <v>287.5</v>
      </c>
      <c r="M4" s="6" t="s">
        <v>25</v>
      </c>
      <c r="N4" s="6" t="s">
        <v>26</v>
      </c>
    </row>
    <row r="5" spans="1:14" x14ac:dyDescent="0.25">
      <c r="A5" s="7" t="s">
        <v>27</v>
      </c>
      <c r="B5" s="7" t="s">
        <v>28</v>
      </c>
      <c r="C5" s="7" t="s">
        <v>29</v>
      </c>
      <c r="D5" s="7">
        <v>2021</v>
      </c>
      <c r="E5" s="7">
        <v>2025</v>
      </c>
      <c r="F5" s="8"/>
      <c r="G5" s="8"/>
      <c r="H5" s="8"/>
      <c r="I5" s="8"/>
      <c r="J5" s="8"/>
      <c r="K5" s="21">
        <v>821.5</v>
      </c>
      <c r="L5" s="8">
        <v>2243</v>
      </c>
      <c r="M5" s="8"/>
      <c r="N5" s="8"/>
    </row>
    <row r="6" spans="1:14" x14ac:dyDescent="0.25">
      <c r="A6" s="7" t="s">
        <v>30</v>
      </c>
      <c r="B6" s="7" t="s">
        <v>31</v>
      </c>
      <c r="C6" s="7" t="s">
        <v>29</v>
      </c>
      <c r="D6" s="7">
        <v>2021</v>
      </c>
      <c r="E6" s="7">
        <v>2025</v>
      </c>
      <c r="F6" s="8"/>
      <c r="G6" s="8"/>
      <c r="H6" s="8"/>
      <c r="I6" s="8"/>
      <c r="J6" s="8"/>
      <c r="K6" s="21">
        <v>1499.23</v>
      </c>
      <c r="L6" s="8">
        <v>5810</v>
      </c>
      <c r="M6" s="8"/>
      <c r="N6" s="8"/>
    </row>
    <row r="7" spans="1:14" x14ac:dyDescent="0.25">
      <c r="A7" s="7" t="s">
        <v>32</v>
      </c>
      <c r="B7" s="7" t="s">
        <v>33</v>
      </c>
      <c r="C7" s="7" t="s">
        <v>29</v>
      </c>
      <c r="D7" s="7">
        <v>2021</v>
      </c>
      <c r="E7" s="7">
        <v>2025</v>
      </c>
      <c r="F7" s="8"/>
      <c r="G7" s="8"/>
      <c r="H7" s="8"/>
      <c r="I7" s="8"/>
      <c r="J7" s="8"/>
      <c r="K7" s="21">
        <v>1058.96</v>
      </c>
      <c r="L7" s="8">
        <v>5982</v>
      </c>
      <c r="M7" s="8"/>
      <c r="N7" s="8"/>
    </row>
    <row r="8" spans="1:14" x14ac:dyDescent="0.25">
      <c r="A8" s="7" t="s">
        <v>34</v>
      </c>
      <c r="B8" s="7" t="s">
        <v>35</v>
      </c>
      <c r="C8" s="7" t="s">
        <v>29</v>
      </c>
      <c r="D8" s="7">
        <v>2021</v>
      </c>
      <c r="E8" s="7">
        <v>2025</v>
      </c>
      <c r="F8" s="8"/>
      <c r="G8" s="8"/>
      <c r="H8" s="8"/>
      <c r="I8" s="8"/>
      <c r="J8" s="8"/>
      <c r="K8" s="21">
        <v>1724.9</v>
      </c>
      <c r="L8" s="8">
        <v>6799</v>
      </c>
      <c r="M8" s="8"/>
      <c r="N8" s="8"/>
    </row>
    <row r="9" spans="1:14" x14ac:dyDescent="0.25">
      <c r="A9" s="7" t="s">
        <v>36</v>
      </c>
      <c r="B9" s="7" t="s">
        <v>37</v>
      </c>
      <c r="C9" s="7" t="s">
        <v>29</v>
      </c>
      <c r="D9" s="7">
        <v>2021</v>
      </c>
      <c r="E9" s="7">
        <v>2025</v>
      </c>
      <c r="F9" s="8"/>
      <c r="G9" s="8"/>
      <c r="H9" s="8"/>
      <c r="I9" s="8"/>
      <c r="J9" s="8"/>
      <c r="K9" s="21">
        <v>11.38</v>
      </c>
      <c r="L9" s="8">
        <v>1095</v>
      </c>
      <c r="M9" s="8"/>
      <c r="N9" s="8"/>
    </row>
    <row r="10" spans="1:14" x14ac:dyDescent="0.25">
      <c r="A10" s="7" t="s">
        <v>38</v>
      </c>
      <c r="B10" s="7" t="s">
        <v>29</v>
      </c>
      <c r="C10" s="7" t="s">
        <v>29</v>
      </c>
      <c r="D10" s="7">
        <v>2021</v>
      </c>
      <c r="E10" s="7">
        <v>2025</v>
      </c>
      <c r="F10" s="8"/>
      <c r="G10" s="8"/>
      <c r="H10" s="8"/>
      <c r="I10" s="8"/>
      <c r="J10" s="8"/>
      <c r="K10" s="21">
        <v>139.41</v>
      </c>
      <c r="L10" s="8">
        <v>1578</v>
      </c>
      <c r="M10" s="8"/>
      <c r="N10" s="8"/>
    </row>
    <row r="11" spans="1:14" x14ac:dyDescent="0.25">
      <c r="A11" s="7" t="s">
        <v>39</v>
      </c>
      <c r="B11" s="7" t="s">
        <v>40</v>
      </c>
      <c r="C11" s="7" t="s">
        <v>29</v>
      </c>
      <c r="D11" s="7">
        <v>2021</v>
      </c>
      <c r="E11" s="7">
        <v>2025</v>
      </c>
      <c r="F11" s="8"/>
      <c r="G11" s="8"/>
      <c r="H11" s="8"/>
      <c r="I11" s="8"/>
      <c r="J11" s="8"/>
      <c r="K11" s="21">
        <v>93.33</v>
      </c>
      <c r="L11" s="8">
        <v>752</v>
      </c>
      <c r="M11" s="8"/>
      <c r="N11" s="8"/>
    </row>
    <row r="12" spans="1:14" x14ac:dyDescent="0.25">
      <c r="A12" s="7" t="s">
        <v>41</v>
      </c>
      <c r="B12" s="7" t="s">
        <v>42</v>
      </c>
      <c r="C12" s="7" t="s">
        <v>29</v>
      </c>
      <c r="D12" s="7">
        <v>2021</v>
      </c>
      <c r="E12" s="7">
        <v>2025</v>
      </c>
      <c r="F12" s="8"/>
      <c r="G12" s="8"/>
      <c r="H12" s="8"/>
      <c r="I12" s="8"/>
      <c r="J12" s="8"/>
      <c r="K12" s="21">
        <v>2.14</v>
      </c>
      <c r="L12" s="8">
        <v>46</v>
      </c>
      <c r="M12" s="8"/>
      <c r="N12" s="8"/>
    </row>
    <row r="13" spans="1:14" x14ac:dyDescent="0.25">
      <c r="A13" s="7" t="s">
        <v>43</v>
      </c>
      <c r="B13" s="7" t="s">
        <v>44</v>
      </c>
      <c r="C13" s="7" t="s">
        <v>29</v>
      </c>
      <c r="D13" s="7">
        <v>2021</v>
      </c>
      <c r="E13" s="7">
        <v>2025</v>
      </c>
      <c r="F13" s="8"/>
      <c r="G13" s="8"/>
      <c r="H13" s="8"/>
      <c r="I13" s="8"/>
      <c r="J13" s="8"/>
      <c r="K13" s="21">
        <v>55.41</v>
      </c>
      <c r="L13" s="8">
        <v>2978</v>
      </c>
      <c r="M13" s="8"/>
      <c r="N13" s="8"/>
    </row>
    <row r="14" spans="1:14" x14ac:dyDescent="0.25">
      <c r="A14" s="7" t="s">
        <v>45</v>
      </c>
      <c r="B14" s="7" t="s">
        <v>46</v>
      </c>
      <c r="C14" s="7" t="s">
        <v>29</v>
      </c>
      <c r="D14" s="7">
        <v>2021</v>
      </c>
      <c r="E14" s="7">
        <v>2025</v>
      </c>
      <c r="F14" s="8"/>
      <c r="G14" s="8"/>
      <c r="H14" s="8"/>
      <c r="I14" s="8"/>
      <c r="J14" s="8"/>
      <c r="K14" s="21">
        <v>19.559999999999999</v>
      </c>
      <c r="L14" s="8">
        <v>1740</v>
      </c>
      <c r="M14" s="8"/>
      <c r="N14" s="8"/>
    </row>
    <row r="15" spans="1:14" x14ac:dyDescent="0.25">
      <c r="A15" s="7" t="s">
        <v>47</v>
      </c>
      <c r="B15" s="7" t="s">
        <v>48</v>
      </c>
      <c r="C15" s="7" t="s">
        <v>29</v>
      </c>
      <c r="D15" s="7">
        <v>2021</v>
      </c>
      <c r="E15" s="7">
        <v>2025</v>
      </c>
      <c r="F15" s="8"/>
      <c r="G15" s="8"/>
      <c r="H15" s="8"/>
      <c r="I15" s="8"/>
      <c r="J15" s="8"/>
      <c r="K15" s="21">
        <v>1388.42</v>
      </c>
      <c r="L15" s="8">
        <v>5716</v>
      </c>
      <c r="M15" s="8"/>
      <c r="N15" s="8"/>
    </row>
    <row r="16" spans="1:14" x14ac:dyDescent="0.25">
      <c r="A16" s="7" t="s">
        <v>49</v>
      </c>
      <c r="B16" s="7" t="s">
        <v>50</v>
      </c>
      <c r="C16" s="7" t="s">
        <v>51</v>
      </c>
      <c r="D16" s="7">
        <v>2021</v>
      </c>
      <c r="E16" s="7">
        <v>2025</v>
      </c>
      <c r="F16" s="8"/>
      <c r="G16" s="8"/>
      <c r="H16" s="8"/>
      <c r="I16" s="8"/>
      <c r="J16" s="8"/>
      <c r="K16" s="21">
        <v>1254.56</v>
      </c>
      <c r="L16" s="8">
        <v>5910</v>
      </c>
      <c r="M16" s="8"/>
      <c r="N16" s="8"/>
    </row>
    <row r="17" spans="1:14" x14ac:dyDescent="0.25">
      <c r="A17" s="7" t="s">
        <v>52</v>
      </c>
      <c r="B17" s="7" t="s">
        <v>53</v>
      </c>
      <c r="C17" s="7" t="s">
        <v>51</v>
      </c>
      <c r="D17" s="7">
        <v>2021</v>
      </c>
      <c r="E17" s="7">
        <v>2025</v>
      </c>
      <c r="F17" s="8"/>
      <c r="G17" s="8"/>
      <c r="H17" s="8"/>
      <c r="I17" s="8"/>
      <c r="J17" s="8"/>
      <c r="K17" s="21">
        <v>4209.4799999999996</v>
      </c>
      <c r="L17" s="8">
        <v>6483</v>
      </c>
      <c r="M17" s="8"/>
      <c r="N17" s="8"/>
    </row>
    <row r="18" spans="1:14" x14ac:dyDescent="0.25">
      <c r="A18" s="7" t="s">
        <v>54</v>
      </c>
      <c r="B18" s="7" t="s">
        <v>55</v>
      </c>
      <c r="C18" s="7" t="s">
        <v>51</v>
      </c>
      <c r="D18" s="7">
        <v>2021</v>
      </c>
      <c r="E18" s="7">
        <v>2025</v>
      </c>
      <c r="F18" s="8"/>
      <c r="G18" s="8"/>
      <c r="H18" s="8"/>
      <c r="I18" s="8"/>
      <c r="J18" s="8"/>
      <c r="K18" s="21">
        <v>952.78</v>
      </c>
      <c r="L18" s="8">
        <v>4577</v>
      </c>
      <c r="M18" s="8"/>
      <c r="N18" s="8"/>
    </row>
    <row r="19" spans="1:14" x14ac:dyDescent="0.25">
      <c r="A19" s="7" t="s">
        <v>56</v>
      </c>
      <c r="B19" s="7" t="s">
        <v>57</v>
      </c>
      <c r="C19" s="7" t="s">
        <v>51</v>
      </c>
      <c r="D19" s="7">
        <v>2021</v>
      </c>
      <c r="E19" s="7">
        <v>2025</v>
      </c>
      <c r="F19" s="8"/>
      <c r="G19" s="8"/>
      <c r="H19" s="8"/>
      <c r="I19" s="8"/>
      <c r="J19" s="8"/>
      <c r="K19" s="21">
        <v>648.36</v>
      </c>
      <c r="L19" s="8">
        <v>4184</v>
      </c>
      <c r="M19" s="8"/>
      <c r="N19" s="8"/>
    </row>
    <row r="20" spans="1:14" x14ac:dyDescent="0.25">
      <c r="A20" s="7" t="s">
        <v>58</v>
      </c>
      <c r="B20" s="7" t="s">
        <v>59</v>
      </c>
      <c r="C20" s="7" t="s">
        <v>51</v>
      </c>
      <c r="D20" s="7">
        <v>2021</v>
      </c>
      <c r="E20" s="7">
        <v>2025</v>
      </c>
      <c r="F20" s="8"/>
      <c r="G20" s="8"/>
      <c r="H20" s="8"/>
      <c r="I20" s="8"/>
      <c r="J20" s="8"/>
      <c r="K20" s="21">
        <v>59.55</v>
      </c>
      <c r="L20" s="8">
        <v>109</v>
      </c>
      <c r="M20" s="8"/>
      <c r="N20" s="8"/>
    </row>
    <row r="21" spans="1:14" x14ac:dyDescent="0.25">
      <c r="A21" s="7" t="s">
        <v>60</v>
      </c>
      <c r="B21" s="7" t="s">
        <v>61</v>
      </c>
      <c r="C21" s="7" t="s">
        <v>51</v>
      </c>
      <c r="D21" s="7">
        <v>2021</v>
      </c>
      <c r="E21" s="7">
        <v>2025</v>
      </c>
      <c r="F21" s="8"/>
      <c r="G21" s="8"/>
      <c r="H21" s="8"/>
      <c r="I21" s="8"/>
      <c r="J21" s="8"/>
      <c r="K21" s="21">
        <v>3315.08</v>
      </c>
      <c r="L21" s="8">
        <v>5878</v>
      </c>
      <c r="M21" s="8"/>
      <c r="N21" s="8"/>
    </row>
    <row r="22" spans="1:14" x14ac:dyDescent="0.25">
      <c r="A22" s="7" t="s">
        <v>62</v>
      </c>
      <c r="B22" s="7" t="s">
        <v>63</v>
      </c>
      <c r="C22" s="7" t="s">
        <v>51</v>
      </c>
      <c r="D22" s="7">
        <v>2021</v>
      </c>
      <c r="E22" s="7">
        <v>2025</v>
      </c>
      <c r="F22" s="8"/>
      <c r="G22" s="8"/>
      <c r="H22" s="8"/>
      <c r="I22" s="8"/>
      <c r="J22" s="8"/>
      <c r="K22" s="21">
        <v>4026.26</v>
      </c>
      <c r="L22" s="8">
        <v>7716</v>
      </c>
      <c r="M22" s="8"/>
      <c r="N22" s="8"/>
    </row>
    <row r="23" spans="1:14" x14ac:dyDescent="0.25">
      <c r="A23" s="7" t="s">
        <v>64</v>
      </c>
      <c r="B23" s="7" t="s">
        <v>65</v>
      </c>
      <c r="C23" s="7" t="s">
        <v>51</v>
      </c>
      <c r="D23" s="7">
        <v>2021</v>
      </c>
      <c r="E23" s="7">
        <v>2025</v>
      </c>
      <c r="F23" s="8"/>
      <c r="G23" s="8"/>
      <c r="H23" s="8"/>
      <c r="I23" s="8"/>
      <c r="J23" s="8"/>
      <c r="K23" s="21">
        <v>3401.45</v>
      </c>
      <c r="L23" s="8">
        <v>6185</v>
      </c>
      <c r="M23" s="8"/>
      <c r="N23" s="8"/>
    </row>
    <row r="24" spans="1:14" x14ac:dyDescent="0.25">
      <c r="A24" s="7" t="s">
        <v>66</v>
      </c>
      <c r="B24" s="7" t="s">
        <v>67</v>
      </c>
      <c r="C24" s="7" t="s">
        <v>51</v>
      </c>
      <c r="D24" s="7">
        <v>2021</v>
      </c>
      <c r="E24" s="7">
        <v>2025</v>
      </c>
      <c r="F24" s="8"/>
      <c r="G24" s="8"/>
      <c r="H24" s="8"/>
      <c r="I24" s="8"/>
      <c r="J24" s="8"/>
      <c r="K24" s="21">
        <v>8183.25</v>
      </c>
      <c r="L24" s="8">
        <v>9937</v>
      </c>
      <c r="M24" s="8"/>
      <c r="N24" s="8"/>
    </row>
    <row r="25" spans="1:14" x14ac:dyDescent="0.25">
      <c r="A25" s="7" t="s">
        <v>68</v>
      </c>
      <c r="B25" s="7" t="s">
        <v>69</v>
      </c>
      <c r="C25" s="7" t="s">
        <v>51</v>
      </c>
      <c r="D25" s="7">
        <v>2021</v>
      </c>
      <c r="E25" s="7">
        <v>2025</v>
      </c>
      <c r="F25" s="8"/>
      <c r="G25" s="8"/>
      <c r="H25" s="8"/>
      <c r="I25" s="8"/>
      <c r="J25" s="8"/>
      <c r="K25" s="21">
        <v>0</v>
      </c>
      <c r="L25" s="8">
        <v>6483</v>
      </c>
      <c r="M25" s="8"/>
      <c r="N25" s="8"/>
    </row>
    <row r="26" spans="1:14" x14ac:dyDescent="0.25">
      <c r="A26" s="7" t="s">
        <v>70</v>
      </c>
      <c r="B26" s="7" t="s">
        <v>71</v>
      </c>
      <c r="C26" s="7" t="s">
        <v>51</v>
      </c>
      <c r="D26" s="7">
        <v>2021</v>
      </c>
      <c r="E26" s="7">
        <v>2025</v>
      </c>
      <c r="F26" s="8"/>
      <c r="G26" s="8"/>
      <c r="H26" s="8"/>
      <c r="I26" s="8"/>
      <c r="J26" s="8"/>
      <c r="K26" s="21">
        <v>806.26</v>
      </c>
      <c r="L26" s="8">
        <v>4032</v>
      </c>
      <c r="M26" s="8"/>
      <c r="N26" s="8"/>
    </row>
    <row r="27" spans="1:14" x14ac:dyDescent="0.25">
      <c r="A27" s="7" t="s">
        <v>72</v>
      </c>
      <c r="B27" s="7" t="s">
        <v>73</v>
      </c>
      <c r="C27" s="7" t="s">
        <v>51</v>
      </c>
      <c r="D27" s="7">
        <v>2021</v>
      </c>
      <c r="E27" s="7">
        <v>2025</v>
      </c>
      <c r="F27" s="8"/>
      <c r="G27" s="8"/>
      <c r="H27" s="8"/>
      <c r="I27" s="8"/>
      <c r="J27" s="8"/>
      <c r="K27" s="21">
        <v>2597.3200000000002</v>
      </c>
      <c r="L27" s="8">
        <v>4588</v>
      </c>
      <c r="M27" s="8"/>
      <c r="N27" s="8"/>
    </row>
    <row r="28" spans="1:14" x14ac:dyDescent="0.25">
      <c r="A28" s="7" t="s">
        <v>74</v>
      </c>
      <c r="B28" s="7" t="s">
        <v>75</v>
      </c>
      <c r="C28" s="7" t="s">
        <v>51</v>
      </c>
      <c r="D28" s="7">
        <v>2021</v>
      </c>
      <c r="E28" s="7">
        <v>2025</v>
      </c>
      <c r="F28" s="8"/>
      <c r="G28" s="8"/>
      <c r="H28" s="8"/>
      <c r="I28" s="8"/>
      <c r="J28" s="8"/>
      <c r="K28" s="21">
        <v>2661.13</v>
      </c>
      <c r="L28" s="8">
        <v>9054</v>
      </c>
      <c r="M28" s="8"/>
      <c r="N28" s="8"/>
    </row>
    <row r="29" spans="1:14" x14ac:dyDescent="0.25">
      <c r="A29" s="7" t="s">
        <v>76</v>
      </c>
      <c r="B29" s="7" t="s">
        <v>77</v>
      </c>
      <c r="C29" s="7" t="s">
        <v>51</v>
      </c>
      <c r="D29" s="7">
        <v>2021</v>
      </c>
      <c r="E29" s="7">
        <v>2025</v>
      </c>
      <c r="F29" s="8"/>
      <c r="G29" s="8"/>
      <c r="H29" s="8"/>
      <c r="I29" s="8"/>
      <c r="J29" s="8"/>
      <c r="K29" s="21">
        <v>2322.17</v>
      </c>
      <c r="L29" s="8">
        <v>8287</v>
      </c>
      <c r="M29" s="8"/>
      <c r="N29" s="8"/>
    </row>
    <row r="30" spans="1:14" x14ac:dyDescent="0.25">
      <c r="A30" s="7" t="s">
        <v>78</v>
      </c>
      <c r="B30" s="7" t="s">
        <v>79</v>
      </c>
      <c r="C30" s="7" t="s">
        <v>51</v>
      </c>
      <c r="D30" s="7">
        <v>2021</v>
      </c>
      <c r="E30" s="7">
        <v>2025</v>
      </c>
      <c r="F30" s="8"/>
      <c r="G30" s="8"/>
      <c r="H30" s="8"/>
      <c r="I30" s="8"/>
      <c r="J30" s="8"/>
      <c r="K30" s="21">
        <v>1487.27</v>
      </c>
      <c r="L30" s="8">
        <v>3799</v>
      </c>
      <c r="M30" s="8"/>
      <c r="N30" s="8"/>
    </row>
    <row r="31" spans="1:14" x14ac:dyDescent="0.25">
      <c r="A31" s="7" t="s">
        <v>80</v>
      </c>
      <c r="B31" s="7" t="s">
        <v>81</v>
      </c>
      <c r="C31" s="7" t="s">
        <v>51</v>
      </c>
      <c r="D31" s="7">
        <v>2021</v>
      </c>
      <c r="E31" s="7">
        <v>2025</v>
      </c>
      <c r="F31" s="8"/>
      <c r="G31" s="8"/>
      <c r="H31" s="8"/>
      <c r="I31" s="8"/>
      <c r="J31" s="8"/>
      <c r="K31" s="21">
        <v>3575.36</v>
      </c>
      <c r="L31" s="8">
        <v>9783</v>
      </c>
      <c r="M31" s="8"/>
      <c r="N31" s="8"/>
    </row>
    <row r="32" spans="1:14" x14ac:dyDescent="0.25">
      <c r="A32" s="7" t="s">
        <v>82</v>
      </c>
      <c r="B32" s="7" t="s">
        <v>51</v>
      </c>
      <c r="C32" s="7" t="s">
        <v>51</v>
      </c>
      <c r="D32" s="7">
        <v>2021</v>
      </c>
      <c r="E32" s="7">
        <v>2025</v>
      </c>
      <c r="F32" s="8"/>
      <c r="G32" s="8"/>
      <c r="H32" s="8"/>
      <c r="I32" s="8"/>
      <c r="J32" s="8"/>
      <c r="K32" s="21">
        <v>8503.2900000000009</v>
      </c>
      <c r="L32" s="8">
        <v>11031</v>
      </c>
      <c r="M32" s="8"/>
      <c r="N32" s="8"/>
    </row>
    <row r="33" spans="1:14" x14ac:dyDescent="0.25">
      <c r="A33" s="7" t="s">
        <v>83</v>
      </c>
      <c r="B33" s="7" t="s">
        <v>84</v>
      </c>
      <c r="C33" s="7" t="s">
        <v>51</v>
      </c>
      <c r="D33" s="7">
        <v>2021</v>
      </c>
      <c r="E33" s="7">
        <v>2025</v>
      </c>
      <c r="F33" s="8"/>
      <c r="G33" s="8"/>
      <c r="H33" s="8"/>
      <c r="I33" s="8"/>
      <c r="J33" s="8"/>
      <c r="K33" s="21">
        <v>1222.8699999999999</v>
      </c>
      <c r="L33" s="8">
        <v>2254</v>
      </c>
      <c r="M33" s="8"/>
      <c r="N33" s="8"/>
    </row>
  </sheetData>
  <mergeCells count="1">
    <mergeCell ref="A1:N1"/>
  </mergeCells>
  <dataValidations count="1">
    <dataValidation type="decimal" operator="greaterThanOrEqual" allowBlank="1" errorTitle="Invalid value" error="Raw values must be numbers &gt;= 0." sqref="F5:L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3"/>
  <sheetViews>
    <sheetView workbookViewId="0">
      <pane xSplit="5" ySplit="3" topLeftCell="F4" activePane="bottomRight" state="frozen"/>
      <selection pane="topRight"/>
      <selection pane="bottomLeft"/>
      <selection pane="bottomRight" activeCell="G13" sqref="G13"/>
    </sheetView>
  </sheetViews>
  <sheetFormatPr defaultRowHeight="15" x14ac:dyDescent="0.25"/>
  <cols>
    <col min="1" max="1" width="14" customWidth="1"/>
    <col min="2" max="2" width="34" customWidth="1"/>
    <col min="3" max="3" width="16" customWidth="1"/>
    <col min="4" max="5" width="11" customWidth="1"/>
    <col min="6" max="14" width="16" customWidth="1"/>
  </cols>
  <sheetData>
    <row r="1" spans="1:14" ht="16.5" x14ac:dyDescent="0.25">
      <c r="A1" s="25" t="s">
        <v>85</v>
      </c>
      <c r="B1" s="26"/>
      <c r="C1" s="26"/>
      <c r="D1" s="26"/>
      <c r="E1" s="26"/>
      <c r="F1" s="26"/>
      <c r="G1" s="26"/>
      <c r="H1" s="26"/>
      <c r="I1" s="26"/>
      <c r="J1" s="26"/>
      <c r="K1" s="26"/>
      <c r="L1" s="26"/>
      <c r="M1" s="26"/>
      <c r="N1" s="26"/>
    </row>
    <row r="2" spans="1:14" x14ac:dyDescent="0.25">
      <c r="A2" s="2" t="s">
        <v>1</v>
      </c>
      <c r="B2" s="2" t="s">
        <v>2</v>
      </c>
      <c r="C2" s="2" t="s">
        <v>3</v>
      </c>
      <c r="D2" s="2" t="s">
        <v>4</v>
      </c>
      <c r="E2" s="2" t="s">
        <v>5</v>
      </c>
      <c r="F2" s="3" t="s">
        <v>156</v>
      </c>
      <c r="G2" s="3" t="s">
        <v>157</v>
      </c>
      <c r="H2" s="3" t="s">
        <v>7</v>
      </c>
      <c r="I2" s="3" t="s">
        <v>8</v>
      </c>
      <c r="J2" s="3" t="s">
        <v>9</v>
      </c>
      <c r="K2" s="4" t="s">
        <v>10</v>
      </c>
      <c r="L2" s="4" t="s">
        <v>11</v>
      </c>
      <c r="M2" s="2" t="s">
        <v>12</v>
      </c>
      <c r="N2" s="2" t="s">
        <v>13</v>
      </c>
    </row>
    <row r="3" spans="1:14" ht="45.95" customHeight="1" x14ac:dyDescent="0.25">
      <c r="A3" s="5" t="s">
        <v>14</v>
      </c>
      <c r="B3" s="5" t="s">
        <v>14</v>
      </c>
      <c r="C3" s="5" t="s">
        <v>14</v>
      </c>
      <c r="D3" s="5" t="s">
        <v>14</v>
      </c>
      <c r="E3" s="5" t="s">
        <v>14</v>
      </c>
      <c r="F3" s="28" t="s">
        <v>158</v>
      </c>
      <c r="G3" s="28" t="s">
        <v>159</v>
      </c>
      <c r="H3" s="5" t="s">
        <v>15</v>
      </c>
      <c r="I3" s="5" t="s">
        <v>16</v>
      </c>
      <c r="J3" s="5" t="s">
        <v>17</v>
      </c>
      <c r="K3" s="5" t="s">
        <v>18</v>
      </c>
      <c r="L3" s="5" t="s">
        <v>19</v>
      </c>
      <c r="M3" s="5" t="s">
        <v>20</v>
      </c>
      <c r="N3" s="5" t="s">
        <v>21</v>
      </c>
    </row>
    <row r="4" spans="1:14" x14ac:dyDescent="0.25">
      <c r="A4" s="6" t="s">
        <v>22</v>
      </c>
      <c r="B4" s="6" t="s">
        <v>23</v>
      </c>
      <c r="C4" s="6" t="s">
        <v>24</v>
      </c>
      <c r="D4" s="6">
        <v>2025</v>
      </c>
      <c r="E4" s="6">
        <v>2030</v>
      </c>
      <c r="F4" s="6">
        <v>100</v>
      </c>
      <c r="G4" s="6"/>
      <c r="H4" s="6">
        <v>137.5</v>
      </c>
      <c r="I4" s="6">
        <v>175</v>
      </c>
      <c r="J4" s="6">
        <v>212.5</v>
      </c>
      <c r="K4" s="6">
        <v>250</v>
      </c>
      <c r="L4" s="6">
        <v>287.5</v>
      </c>
      <c r="M4" s="6" t="s">
        <v>86</v>
      </c>
      <c r="N4" s="6" t="s">
        <v>26</v>
      </c>
    </row>
    <row r="5" spans="1:14" x14ac:dyDescent="0.25">
      <c r="A5" s="7" t="s">
        <v>27</v>
      </c>
      <c r="B5" s="7" t="s">
        <v>28</v>
      </c>
      <c r="C5" s="7" t="s">
        <v>29</v>
      </c>
      <c r="D5" s="7">
        <v>2026</v>
      </c>
      <c r="E5" s="7">
        <v>2030</v>
      </c>
      <c r="F5" s="8"/>
      <c r="G5" s="8"/>
      <c r="H5" s="8"/>
      <c r="I5" s="8"/>
      <c r="J5" s="8"/>
      <c r="K5" s="8"/>
      <c r="L5" s="8"/>
      <c r="M5" s="8"/>
      <c r="N5" s="8"/>
    </row>
    <row r="6" spans="1:14" x14ac:dyDescent="0.25">
      <c r="A6" s="7" t="s">
        <v>30</v>
      </c>
      <c r="B6" s="7" t="s">
        <v>31</v>
      </c>
      <c r="C6" s="7" t="s">
        <v>29</v>
      </c>
      <c r="D6" s="7">
        <v>2026</v>
      </c>
      <c r="E6" s="7">
        <v>2030</v>
      </c>
      <c r="F6" s="8"/>
      <c r="G6" s="8"/>
      <c r="H6" s="8"/>
      <c r="I6" s="8"/>
      <c r="J6" s="8"/>
      <c r="K6" s="8"/>
      <c r="L6" s="8"/>
      <c r="M6" s="8"/>
      <c r="N6" s="8"/>
    </row>
    <row r="7" spans="1:14" x14ac:dyDescent="0.25">
      <c r="A7" s="7" t="s">
        <v>32</v>
      </c>
      <c r="B7" s="7" t="s">
        <v>33</v>
      </c>
      <c r="C7" s="7" t="s">
        <v>29</v>
      </c>
      <c r="D7" s="7">
        <v>2026</v>
      </c>
      <c r="E7" s="7">
        <v>2030</v>
      </c>
      <c r="F7" s="8"/>
      <c r="G7" s="8"/>
      <c r="H7" s="8"/>
      <c r="I7" s="8"/>
      <c r="J7" s="8"/>
      <c r="K7" s="8"/>
      <c r="L7" s="8"/>
      <c r="M7" s="8"/>
      <c r="N7" s="8"/>
    </row>
    <row r="8" spans="1:14" x14ac:dyDescent="0.25">
      <c r="A8" s="7" t="s">
        <v>34</v>
      </c>
      <c r="B8" s="7" t="s">
        <v>35</v>
      </c>
      <c r="C8" s="7" t="s">
        <v>29</v>
      </c>
      <c r="D8" s="7">
        <v>2026</v>
      </c>
      <c r="E8" s="7">
        <v>2030</v>
      </c>
      <c r="F8" s="8"/>
      <c r="G8" s="8"/>
      <c r="H8" s="8"/>
      <c r="I8" s="8"/>
      <c r="J8" s="8"/>
      <c r="K8" s="8"/>
      <c r="L8" s="8"/>
      <c r="M8" s="8"/>
      <c r="N8" s="8"/>
    </row>
    <row r="9" spans="1:14" x14ac:dyDescent="0.25">
      <c r="A9" s="7" t="s">
        <v>36</v>
      </c>
      <c r="B9" s="7" t="s">
        <v>37</v>
      </c>
      <c r="C9" s="7" t="s">
        <v>29</v>
      </c>
      <c r="D9" s="7">
        <v>2026</v>
      </c>
      <c r="E9" s="7">
        <v>2030</v>
      </c>
      <c r="F9" s="8"/>
      <c r="G9" s="8"/>
      <c r="H9" s="8"/>
      <c r="I9" s="8"/>
      <c r="J9" s="8"/>
      <c r="K9" s="8"/>
      <c r="L9" s="8"/>
      <c r="M9" s="8"/>
      <c r="N9" s="8"/>
    </row>
    <row r="10" spans="1:14" x14ac:dyDescent="0.25">
      <c r="A10" s="7" t="s">
        <v>38</v>
      </c>
      <c r="B10" s="7" t="s">
        <v>29</v>
      </c>
      <c r="C10" s="7" t="s">
        <v>29</v>
      </c>
      <c r="D10" s="7">
        <v>2026</v>
      </c>
      <c r="E10" s="7">
        <v>2030</v>
      </c>
      <c r="F10" s="8"/>
      <c r="G10" s="8"/>
      <c r="H10" s="8"/>
      <c r="I10" s="8"/>
      <c r="J10" s="8"/>
      <c r="K10" s="8"/>
      <c r="L10" s="8"/>
      <c r="M10" s="8"/>
      <c r="N10" s="8"/>
    </row>
    <row r="11" spans="1:14" x14ac:dyDescent="0.25">
      <c r="A11" s="7" t="s">
        <v>39</v>
      </c>
      <c r="B11" s="7" t="s">
        <v>40</v>
      </c>
      <c r="C11" s="7" t="s">
        <v>29</v>
      </c>
      <c r="D11" s="7">
        <v>2026</v>
      </c>
      <c r="E11" s="7">
        <v>2030</v>
      </c>
      <c r="F11" s="8"/>
      <c r="G11" s="8"/>
      <c r="H11" s="8"/>
      <c r="I11" s="8"/>
      <c r="J11" s="8"/>
      <c r="K11" s="8"/>
      <c r="L11" s="8"/>
      <c r="M11" s="8"/>
      <c r="N11" s="8"/>
    </row>
    <row r="12" spans="1:14" x14ac:dyDescent="0.25">
      <c r="A12" s="7" t="s">
        <v>41</v>
      </c>
      <c r="B12" s="7" t="s">
        <v>42</v>
      </c>
      <c r="C12" s="7" t="s">
        <v>29</v>
      </c>
      <c r="D12" s="7">
        <v>2026</v>
      </c>
      <c r="E12" s="7">
        <v>2030</v>
      </c>
      <c r="F12" s="8"/>
      <c r="G12" s="8"/>
      <c r="H12" s="8"/>
      <c r="I12" s="8"/>
      <c r="J12" s="8"/>
      <c r="K12" s="8"/>
      <c r="L12" s="8"/>
      <c r="M12" s="8"/>
      <c r="N12" s="8"/>
    </row>
    <row r="13" spans="1:14" x14ac:dyDescent="0.25">
      <c r="A13" s="7" t="s">
        <v>43</v>
      </c>
      <c r="B13" s="7" t="s">
        <v>44</v>
      </c>
      <c r="C13" s="7" t="s">
        <v>29</v>
      </c>
      <c r="D13" s="7">
        <v>2026</v>
      </c>
      <c r="E13" s="7">
        <v>2030</v>
      </c>
      <c r="F13" s="8"/>
      <c r="G13" s="8"/>
      <c r="H13" s="8"/>
      <c r="I13" s="8"/>
      <c r="J13" s="8"/>
      <c r="K13" s="8"/>
      <c r="L13" s="8"/>
      <c r="M13" s="8"/>
      <c r="N13" s="8"/>
    </row>
    <row r="14" spans="1:14" x14ac:dyDescent="0.25">
      <c r="A14" s="7" t="s">
        <v>45</v>
      </c>
      <c r="B14" s="7" t="s">
        <v>46</v>
      </c>
      <c r="C14" s="7" t="s">
        <v>29</v>
      </c>
      <c r="D14" s="7">
        <v>2026</v>
      </c>
      <c r="E14" s="7">
        <v>2030</v>
      </c>
      <c r="F14" s="8"/>
      <c r="G14" s="8"/>
      <c r="H14" s="8"/>
      <c r="I14" s="8"/>
      <c r="J14" s="8"/>
      <c r="K14" s="8"/>
      <c r="L14" s="8"/>
      <c r="M14" s="8"/>
      <c r="N14" s="8"/>
    </row>
    <row r="15" spans="1:14" x14ac:dyDescent="0.25">
      <c r="A15" s="7" t="s">
        <v>47</v>
      </c>
      <c r="B15" s="7" t="s">
        <v>48</v>
      </c>
      <c r="C15" s="7" t="s">
        <v>29</v>
      </c>
      <c r="D15" s="7">
        <v>2026</v>
      </c>
      <c r="E15" s="7">
        <v>2030</v>
      </c>
      <c r="F15" s="8"/>
      <c r="G15" s="8"/>
      <c r="H15" s="8"/>
      <c r="I15" s="8"/>
      <c r="J15" s="8"/>
      <c r="K15" s="8"/>
      <c r="L15" s="8"/>
      <c r="M15" s="8"/>
      <c r="N15" s="8"/>
    </row>
    <row r="16" spans="1:14" x14ac:dyDescent="0.25">
      <c r="A16" s="7" t="s">
        <v>49</v>
      </c>
      <c r="B16" s="7" t="s">
        <v>50</v>
      </c>
      <c r="C16" s="7" t="s">
        <v>51</v>
      </c>
      <c r="D16" s="7">
        <v>2026</v>
      </c>
      <c r="E16" s="7">
        <v>2030</v>
      </c>
      <c r="F16" s="8"/>
      <c r="G16" s="8"/>
      <c r="H16" s="8"/>
      <c r="I16" s="8"/>
      <c r="J16" s="8"/>
      <c r="K16" s="8"/>
      <c r="L16" s="8"/>
      <c r="M16" s="8"/>
      <c r="N16" s="8"/>
    </row>
    <row r="17" spans="1:14" x14ac:dyDescent="0.25">
      <c r="A17" s="7" t="s">
        <v>52</v>
      </c>
      <c r="B17" s="7" t="s">
        <v>53</v>
      </c>
      <c r="C17" s="7" t="s">
        <v>51</v>
      </c>
      <c r="D17" s="7">
        <v>2026</v>
      </c>
      <c r="E17" s="7">
        <v>2030</v>
      </c>
      <c r="F17" s="8"/>
      <c r="G17" s="8"/>
      <c r="H17" s="8"/>
      <c r="I17" s="8"/>
      <c r="J17" s="8"/>
      <c r="K17" s="8"/>
      <c r="L17" s="8"/>
      <c r="M17" s="8"/>
      <c r="N17" s="8"/>
    </row>
    <row r="18" spans="1:14" x14ac:dyDescent="0.25">
      <c r="A18" s="7" t="s">
        <v>54</v>
      </c>
      <c r="B18" s="7" t="s">
        <v>55</v>
      </c>
      <c r="C18" s="7" t="s">
        <v>51</v>
      </c>
      <c r="D18" s="7">
        <v>2026</v>
      </c>
      <c r="E18" s="7">
        <v>2030</v>
      </c>
      <c r="F18" s="8"/>
      <c r="G18" s="8"/>
      <c r="H18" s="8"/>
      <c r="I18" s="8"/>
      <c r="J18" s="8"/>
      <c r="K18" s="8"/>
      <c r="L18" s="8"/>
      <c r="M18" s="8"/>
      <c r="N18" s="8"/>
    </row>
    <row r="19" spans="1:14" x14ac:dyDescent="0.25">
      <c r="A19" s="7" t="s">
        <v>56</v>
      </c>
      <c r="B19" s="7" t="s">
        <v>57</v>
      </c>
      <c r="C19" s="7" t="s">
        <v>51</v>
      </c>
      <c r="D19" s="7">
        <v>2026</v>
      </c>
      <c r="E19" s="7">
        <v>2030</v>
      </c>
      <c r="F19" s="8"/>
      <c r="G19" s="8"/>
      <c r="H19" s="8"/>
      <c r="I19" s="8"/>
      <c r="J19" s="8"/>
      <c r="K19" s="8"/>
      <c r="L19" s="8"/>
      <c r="M19" s="8"/>
      <c r="N19" s="8"/>
    </row>
    <row r="20" spans="1:14" x14ac:dyDescent="0.25">
      <c r="A20" s="7" t="s">
        <v>58</v>
      </c>
      <c r="B20" s="7" t="s">
        <v>59</v>
      </c>
      <c r="C20" s="7" t="s">
        <v>51</v>
      </c>
      <c r="D20" s="7">
        <v>2026</v>
      </c>
      <c r="E20" s="7">
        <v>2030</v>
      </c>
      <c r="F20" s="8"/>
      <c r="G20" s="8"/>
      <c r="H20" s="8"/>
      <c r="I20" s="8"/>
      <c r="J20" s="8"/>
      <c r="K20" s="8"/>
      <c r="L20" s="8"/>
      <c r="M20" s="8"/>
      <c r="N20" s="8"/>
    </row>
    <row r="21" spans="1:14" x14ac:dyDescent="0.25">
      <c r="A21" s="7" t="s">
        <v>60</v>
      </c>
      <c r="B21" s="7" t="s">
        <v>61</v>
      </c>
      <c r="C21" s="7" t="s">
        <v>51</v>
      </c>
      <c r="D21" s="7">
        <v>2026</v>
      </c>
      <c r="E21" s="7">
        <v>2030</v>
      </c>
      <c r="F21" s="8"/>
      <c r="G21" s="8"/>
      <c r="H21" s="8"/>
      <c r="I21" s="8"/>
      <c r="J21" s="8"/>
      <c r="K21" s="8"/>
      <c r="L21" s="8"/>
      <c r="M21" s="8"/>
      <c r="N21" s="8"/>
    </row>
    <row r="22" spans="1:14" x14ac:dyDescent="0.25">
      <c r="A22" s="7" t="s">
        <v>62</v>
      </c>
      <c r="B22" s="7" t="s">
        <v>63</v>
      </c>
      <c r="C22" s="7" t="s">
        <v>51</v>
      </c>
      <c r="D22" s="7">
        <v>2026</v>
      </c>
      <c r="E22" s="7">
        <v>2030</v>
      </c>
      <c r="F22" s="8"/>
      <c r="G22" s="8"/>
      <c r="H22" s="8"/>
      <c r="I22" s="8"/>
      <c r="J22" s="8"/>
      <c r="K22" s="8"/>
      <c r="L22" s="8"/>
      <c r="M22" s="8"/>
      <c r="N22" s="8"/>
    </row>
    <row r="23" spans="1:14" x14ac:dyDescent="0.25">
      <c r="A23" s="7" t="s">
        <v>64</v>
      </c>
      <c r="B23" s="7" t="s">
        <v>65</v>
      </c>
      <c r="C23" s="7" t="s">
        <v>51</v>
      </c>
      <c r="D23" s="7">
        <v>2026</v>
      </c>
      <c r="E23" s="7">
        <v>2030</v>
      </c>
      <c r="F23" s="8"/>
      <c r="G23" s="8"/>
      <c r="H23" s="8"/>
      <c r="I23" s="8"/>
      <c r="J23" s="8"/>
      <c r="K23" s="8"/>
      <c r="L23" s="8"/>
      <c r="M23" s="8"/>
      <c r="N23" s="8"/>
    </row>
    <row r="24" spans="1:14" x14ac:dyDescent="0.25">
      <c r="A24" s="7" t="s">
        <v>66</v>
      </c>
      <c r="B24" s="7" t="s">
        <v>67</v>
      </c>
      <c r="C24" s="7" t="s">
        <v>51</v>
      </c>
      <c r="D24" s="7">
        <v>2026</v>
      </c>
      <c r="E24" s="7">
        <v>2030</v>
      </c>
      <c r="F24" s="8"/>
      <c r="G24" s="8"/>
      <c r="H24" s="8"/>
      <c r="I24" s="8"/>
      <c r="J24" s="8"/>
      <c r="K24" s="8"/>
      <c r="L24" s="8"/>
      <c r="M24" s="8"/>
      <c r="N24" s="8"/>
    </row>
    <row r="25" spans="1:14" x14ac:dyDescent="0.25">
      <c r="A25" s="7" t="s">
        <v>68</v>
      </c>
      <c r="B25" s="7" t="s">
        <v>69</v>
      </c>
      <c r="C25" s="7" t="s">
        <v>51</v>
      </c>
      <c r="D25" s="7">
        <v>2026</v>
      </c>
      <c r="E25" s="7">
        <v>2030</v>
      </c>
      <c r="F25" s="8"/>
      <c r="G25" s="8"/>
      <c r="H25" s="8"/>
      <c r="I25" s="8"/>
      <c r="J25" s="8"/>
      <c r="K25" s="8"/>
      <c r="L25" s="8"/>
      <c r="M25" s="8"/>
      <c r="N25" s="8"/>
    </row>
    <row r="26" spans="1:14" x14ac:dyDescent="0.25">
      <c r="A26" s="7" t="s">
        <v>70</v>
      </c>
      <c r="B26" s="7" t="s">
        <v>71</v>
      </c>
      <c r="C26" s="7" t="s">
        <v>51</v>
      </c>
      <c r="D26" s="7">
        <v>2026</v>
      </c>
      <c r="E26" s="7">
        <v>2030</v>
      </c>
      <c r="F26" s="8"/>
      <c r="G26" s="8"/>
      <c r="H26" s="8"/>
      <c r="I26" s="8"/>
      <c r="J26" s="8"/>
      <c r="K26" s="8"/>
      <c r="L26" s="8"/>
      <c r="M26" s="8"/>
      <c r="N26" s="8"/>
    </row>
    <row r="27" spans="1:14" x14ac:dyDescent="0.25">
      <c r="A27" s="7" t="s">
        <v>72</v>
      </c>
      <c r="B27" s="7" t="s">
        <v>73</v>
      </c>
      <c r="C27" s="7" t="s">
        <v>51</v>
      </c>
      <c r="D27" s="7">
        <v>2026</v>
      </c>
      <c r="E27" s="7">
        <v>2030</v>
      </c>
      <c r="F27" s="8"/>
      <c r="G27" s="8"/>
      <c r="H27" s="8"/>
      <c r="I27" s="8"/>
      <c r="J27" s="8"/>
      <c r="K27" s="8"/>
      <c r="L27" s="8"/>
      <c r="M27" s="8"/>
      <c r="N27" s="8"/>
    </row>
    <row r="28" spans="1:14" x14ac:dyDescent="0.25">
      <c r="A28" s="7" t="s">
        <v>74</v>
      </c>
      <c r="B28" s="7" t="s">
        <v>75</v>
      </c>
      <c r="C28" s="7" t="s">
        <v>51</v>
      </c>
      <c r="D28" s="7">
        <v>2026</v>
      </c>
      <c r="E28" s="7">
        <v>2030</v>
      </c>
      <c r="F28" s="8"/>
      <c r="G28" s="8"/>
      <c r="H28" s="8"/>
      <c r="I28" s="8"/>
      <c r="J28" s="8"/>
      <c r="K28" s="8"/>
      <c r="L28" s="8"/>
      <c r="M28" s="8"/>
      <c r="N28" s="8"/>
    </row>
    <row r="29" spans="1:14" x14ac:dyDescent="0.25">
      <c r="A29" s="7" t="s">
        <v>76</v>
      </c>
      <c r="B29" s="7" t="s">
        <v>77</v>
      </c>
      <c r="C29" s="7" t="s">
        <v>51</v>
      </c>
      <c r="D29" s="7">
        <v>2026</v>
      </c>
      <c r="E29" s="7">
        <v>2030</v>
      </c>
      <c r="F29" s="8"/>
      <c r="G29" s="8"/>
      <c r="H29" s="8"/>
      <c r="I29" s="8"/>
      <c r="J29" s="8"/>
      <c r="K29" s="8"/>
      <c r="L29" s="8"/>
      <c r="M29" s="8"/>
      <c r="N29" s="8"/>
    </row>
    <row r="30" spans="1:14" x14ac:dyDescent="0.25">
      <c r="A30" s="7" t="s">
        <v>78</v>
      </c>
      <c r="B30" s="7" t="s">
        <v>79</v>
      </c>
      <c r="C30" s="7" t="s">
        <v>51</v>
      </c>
      <c r="D30" s="7">
        <v>2026</v>
      </c>
      <c r="E30" s="7">
        <v>2030</v>
      </c>
      <c r="F30" s="8"/>
      <c r="G30" s="8"/>
      <c r="H30" s="8"/>
      <c r="I30" s="8"/>
      <c r="J30" s="8"/>
      <c r="K30" s="8"/>
      <c r="L30" s="8"/>
      <c r="M30" s="8"/>
      <c r="N30" s="8"/>
    </row>
    <row r="31" spans="1:14" x14ac:dyDescent="0.25">
      <c r="A31" s="7" t="s">
        <v>80</v>
      </c>
      <c r="B31" s="7" t="s">
        <v>81</v>
      </c>
      <c r="C31" s="7" t="s">
        <v>51</v>
      </c>
      <c r="D31" s="7">
        <v>2026</v>
      </c>
      <c r="E31" s="7">
        <v>2030</v>
      </c>
      <c r="F31" s="8"/>
      <c r="G31" s="8"/>
      <c r="H31" s="8"/>
      <c r="I31" s="8"/>
      <c r="J31" s="8"/>
      <c r="K31" s="8"/>
      <c r="L31" s="8"/>
      <c r="M31" s="8"/>
      <c r="N31" s="8"/>
    </row>
    <row r="32" spans="1:14" x14ac:dyDescent="0.25">
      <c r="A32" s="7" t="s">
        <v>82</v>
      </c>
      <c r="B32" s="7" t="s">
        <v>51</v>
      </c>
      <c r="C32" s="7" t="s">
        <v>51</v>
      </c>
      <c r="D32" s="7">
        <v>2026</v>
      </c>
      <c r="E32" s="7">
        <v>2030</v>
      </c>
      <c r="F32" s="8"/>
      <c r="G32" s="8"/>
      <c r="H32" s="8"/>
      <c r="I32" s="8"/>
      <c r="J32" s="8"/>
      <c r="K32" s="8"/>
      <c r="L32" s="8"/>
      <c r="M32" s="8"/>
      <c r="N32" s="8"/>
    </row>
    <row r="33" spans="1:14" x14ac:dyDescent="0.25">
      <c r="A33" s="7" t="s">
        <v>83</v>
      </c>
      <c r="B33" s="7" t="s">
        <v>84</v>
      </c>
      <c r="C33" s="7" t="s">
        <v>51</v>
      </c>
      <c r="D33" s="7">
        <v>2026</v>
      </c>
      <c r="E33" s="7">
        <v>2030</v>
      </c>
      <c r="F33" s="8"/>
      <c r="G33" s="8"/>
      <c r="H33" s="8"/>
      <c r="I33" s="8"/>
      <c r="J33" s="8"/>
      <c r="K33" s="8"/>
      <c r="L33" s="8"/>
      <c r="M33" s="8"/>
      <c r="N33" s="8"/>
    </row>
  </sheetData>
  <mergeCells count="1">
    <mergeCell ref="A1:N1"/>
  </mergeCells>
  <dataValidations count="1">
    <dataValidation type="decimal" operator="greaterThanOrEqual" allowBlank="1" errorTitle="Invalid value" error="Raw values must be numbers &gt;= 0." sqref="F5:L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activeCell="B12" sqref="B12"/>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87</v>
      </c>
    </row>
    <row r="2" spans="1:7" ht="62.1" customHeight="1" x14ac:dyDescent="0.25">
      <c r="A2" s="27" t="s">
        <v>88</v>
      </c>
      <c r="B2" s="26"/>
      <c r="C2" s="26"/>
      <c r="D2" s="26"/>
      <c r="E2" s="26"/>
      <c r="F2" s="26"/>
    </row>
    <row r="3" spans="1:7" ht="25.5" x14ac:dyDescent="0.25">
      <c r="A3" s="9" t="s">
        <v>89</v>
      </c>
      <c r="B3" s="9" t="s">
        <v>90</v>
      </c>
      <c r="C3" s="9" t="s">
        <v>91</v>
      </c>
      <c r="D3" s="9" t="s">
        <v>92</v>
      </c>
      <c r="E3" s="9" t="s">
        <v>93</v>
      </c>
      <c r="F3" s="9" t="s">
        <v>94</v>
      </c>
      <c r="G3" s="20" t="s">
        <v>152</v>
      </c>
    </row>
    <row r="4" spans="1:7" ht="25.5" x14ac:dyDescent="0.25">
      <c r="A4" s="10" t="s">
        <v>6</v>
      </c>
      <c r="B4" s="10" t="s">
        <v>95</v>
      </c>
      <c r="C4" s="10" t="s">
        <v>96</v>
      </c>
      <c r="D4" s="10" t="s">
        <v>97</v>
      </c>
      <c r="E4" s="10">
        <v>50</v>
      </c>
      <c r="F4" s="11">
        <v>50</v>
      </c>
      <c r="G4" s="18" t="s">
        <v>150</v>
      </c>
    </row>
    <row r="5" spans="1:7" x14ac:dyDescent="0.25">
      <c r="A5" s="12" t="s">
        <v>7</v>
      </c>
      <c r="B5" s="12" t="s">
        <v>98</v>
      </c>
      <c r="C5" s="12" t="s">
        <v>96</v>
      </c>
      <c r="D5" s="12"/>
      <c r="E5" s="12"/>
      <c r="F5" s="11"/>
      <c r="G5" s="19"/>
    </row>
    <row r="6" spans="1:7" x14ac:dyDescent="0.25">
      <c r="A6" s="10" t="s">
        <v>8</v>
      </c>
      <c r="B6" s="10" t="s">
        <v>99</v>
      </c>
      <c r="C6" s="10" t="s">
        <v>96</v>
      </c>
      <c r="D6" s="10" t="s">
        <v>97</v>
      </c>
      <c r="E6" s="10">
        <v>10</v>
      </c>
      <c r="F6" s="11">
        <v>10</v>
      </c>
      <c r="G6" s="18" t="s">
        <v>151</v>
      </c>
    </row>
    <row r="7" spans="1:7" x14ac:dyDescent="0.25">
      <c r="A7" s="10" t="s">
        <v>9</v>
      </c>
      <c r="B7" s="10" t="s">
        <v>100</v>
      </c>
      <c r="C7" s="10" t="s">
        <v>96</v>
      </c>
      <c r="D7" s="10" t="s">
        <v>97</v>
      </c>
      <c r="E7" s="10">
        <v>40</v>
      </c>
      <c r="F7" s="11">
        <v>40</v>
      </c>
      <c r="G7" s="18" t="s">
        <v>151</v>
      </c>
    </row>
    <row r="8" spans="1:7" x14ac:dyDescent="0.25">
      <c r="A8" s="10" t="s">
        <v>10</v>
      </c>
      <c r="B8" s="10" t="s">
        <v>155</v>
      </c>
      <c r="C8" s="10" t="s">
        <v>102</v>
      </c>
      <c r="D8" s="10" t="s">
        <v>97</v>
      </c>
      <c r="E8" s="10">
        <v>50</v>
      </c>
      <c r="F8" s="24">
        <v>50</v>
      </c>
      <c r="G8" s="23" t="s">
        <v>153</v>
      </c>
    </row>
    <row r="9" spans="1:7" x14ac:dyDescent="0.25">
      <c r="A9" s="10" t="s">
        <v>11</v>
      </c>
      <c r="B9" s="10" t="s">
        <v>103</v>
      </c>
      <c r="C9" s="10" t="s">
        <v>102</v>
      </c>
      <c r="D9" s="10" t="s">
        <v>97</v>
      </c>
      <c r="E9" s="10">
        <v>50</v>
      </c>
      <c r="F9" s="24">
        <v>50</v>
      </c>
      <c r="G9" s="22" t="s">
        <v>154</v>
      </c>
    </row>
    <row r="11" spans="1:7" x14ac:dyDescent="0.25">
      <c r="A11" s="13" t="s">
        <v>104</v>
      </c>
      <c r="F11" s="14">
        <f>F4+F5+F6+F7</f>
        <v>100</v>
      </c>
    </row>
    <row r="12" spans="1:7" x14ac:dyDescent="0.25">
      <c r="A12" s="13" t="s">
        <v>105</v>
      </c>
      <c r="F12" s="14">
        <f>F8+F9</f>
        <v>100</v>
      </c>
    </row>
  </sheetData>
  <mergeCells count="1">
    <mergeCell ref="A2:F2"/>
  </mergeCells>
  <dataValidations count="1">
    <dataValidation type="decimal" allowBlank="1" errorTitle="Invalid weight" error="Weight must be between 0 and 100." sqref="F4:F9"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topLeftCell="A10"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106</v>
      </c>
    </row>
    <row r="2" spans="1:1" x14ac:dyDescent="0.25">
      <c r="A2" s="15" t="s">
        <v>107</v>
      </c>
    </row>
    <row r="4" spans="1:1" x14ac:dyDescent="0.25">
      <c r="A4" s="16" t="s">
        <v>108</v>
      </c>
    </row>
    <row r="5" spans="1:1" x14ac:dyDescent="0.25">
      <c r="A5" s="16" t="s">
        <v>109</v>
      </c>
    </row>
    <row r="6" spans="1:1" x14ac:dyDescent="0.25">
      <c r="A6" s="16" t="s">
        <v>110</v>
      </c>
    </row>
    <row r="7" spans="1:1" x14ac:dyDescent="0.25">
      <c r="A7" s="17" t="s">
        <v>111</v>
      </c>
    </row>
    <row r="8" spans="1:1" x14ac:dyDescent="0.25">
      <c r="A8" s="16" t="s">
        <v>112</v>
      </c>
    </row>
    <row r="9" spans="1:1" x14ac:dyDescent="0.25">
      <c r="A9" s="16" t="s">
        <v>113</v>
      </c>
    </row>
    <row r="10" spans="1:1" x14ac:dyDescent="0.25">
      <c r="A10" s="16" t="s">
        <v>114</v>
      </c>
    </row>
    <row r="11" spans="1:1" x14ac:dyDescent="0.25">
      <c r="A11" s="16" t="s">
        <v>115</v>
      </c>
    </row>
    <row r="12" spans="1:1" x14ac:dyDescent="0.25">
      <c r="A12" s="16" t="s">
        <v>116</v>
      </c>
    </row>
    <row r="14" spans="1:1" x14ac:dyDescent="0.25">
      <c r="A14" s="17" t="s">
        <v>117</v>
      </c>
    </row>
    <row r="16" spans="1:1" ht="16.5" x14ac:dyDescent="0.25">
      <c r="A16" s="1" t="s">
        <v>118</v>
      </c>
    </row>
    <row r="17" spans="1:6" x14ac:dyDescent="0.25">
      <c r="A17" s="2" t="s">
        <v>119</v>
      </c>
      <c r="B17" s="2" t="s">
        <v>90</v>
      </c>
      <c r="C17" s="2" t="s">
        <v>91</v>
      </c>
      <c r="D17" s="2" t="s">
        <v>120</v>
      </c>
      <c r="E17" s="2" t="s">
        <v>93</v>
      </c>
      <c r="F17" s="2" t="s">
        <v>121</v>
      </c>
    </row>
    <row r="18" spans="1:6" ht="25.5" x14ac:dyDescent="0.25">
      <c r="A18" s="10" t="s">
        <v>6</v>
      </c>
      <c r="B18" s="10" t="s">
        <v>95</v>
      </c>
      <c r="C18" s="10" t="s">
        <v>96</v>
      </c>
      <c r="D18" s="10" t="s">
        <v>97</v>
      </c>
      <c r="E18" s="10">
        <v>50</v>
      </c>
      <c r="F18" s="10" t="s">
        <v>122</v>
      </c>
    </row>
    <row r="19" spans="1:6" x14ac:dyDescent="0.25">
      <c r="A19" s="10" t="s">
        <v>7</v>
      </c>
      <c r="B19" s="10" t="s">
        <v>98</v>
      </c>
      <c r="C19" s="10" t="s">
        <v>96</v>
      </c>
      <c r="D19" s="10"/>
      <c r="E19" s="10"/>
      <c r="F19" s="10" t="s">
        <v>122</v>
      </c>
    </row>
    <row r="20" spans="1:6" x14ac:dyDescent="0.25">
      <c r="A20" s="10" t="s">
        <v>8</v>
      </c>
      <c r="B20" s="10" t="s">
        <v>99</v>
      </c>
      <c r="C20" s="10" t="s">
        <v>96</v>
      </c>
      <c r="D20" s="10" t="s">
        <v>97</v>
      </c>
      <c r="E20" s="10">
        <v>10</v>
      </c>
      <c r="F20" s="10" t="s">
        <v>122</v>
      </c>
    </row>
    <row r="21" spans="1:6" x14ac:dyDescent="0.25">
      <c r="A21" s="10" t="s">
        <v>9</v>
      </c>
      <c r="B21" s="10" t="s">
        <v>100</v>
      </c>
      <c r="C21" s="10" t="s">
        <v>96</v>
      </c>
      <c r="D21" s="10" t="s">
        <v>97</v>
      </c>
      <c r="E21" s="10">
        <v>40</v>
      </c>
      <c r="F21" s="10" t="s">
        <v>122</v>
      </c>
    </row>
    <row r="22" spans="1:6" x14ac:dyDescent="0.25">
      <c r="A22" s="10" t="s">
        <v>10</v>
      </c>
      <c r="B22" s="10" t="s">
        <v>101</v>
      </c>
      <c r="C22" s="10" t="s">
        <v>102</v>
      </c>
      <c r="D22" s="10" t="s">
        <v>97</v>
      </c>
      <c r="E22" s="10">
        <v>50</v>
      </c>
      <c r="F22" s="10" t="s">
        <v>123</v>
      </c>
    </row>
    <row r="23" spans="1:6" x14ac:dyDescent="0.25">
      <c r="A23" s="10" t="s">
        <v>11</v>
      </c>
      <c r="B23" s="10" t="s">
        <v>103</v>
      </c>
      <c r="C23" s="10" t="s">
        <v>102</v>
      </c>
      <c r="D23" s="10" t="s">
        <v>97</v>
      </c>
      <c r="E23" s="10">
        <v>50</v>
      </c>
      <c r="F23" s="10" t="s">
        <v>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124</v>
      </c>
      <c r="B1" s="16" t="s">
        <v>125</v>
      </c>
    </row>
    <row r="2" spans="1:2" x14ac:dyDescent="0.25">
      <c r="A2" s="16" t="s">
        <v>126</v>
      </c>
      <c r="B2" s="16">
        <v>1</v>
      </c>
    </row>
    <row r="3" spans="1:2" x14ac:dyDescent="0.25">
      <c r="A3" s="16" t="s">
        <v>127</v>
      </c>
      <c r="B3" s="16" t="s">
        <v>128</v>
      </c>
    </row>
    <row r="4" spans="1:2" x14ac:dyDescent="0.25">
      <c r="A4" s="16" t="s">
        <v>129</v>
      </c>
      <c r="B4" s="16" t="s">
        <v>130</v>
      </c>
    </row>
    <row r="5" spans="1:2" x14ac:dyDescent="0.25">
      <c r="A5" s="16" t="s">
        <v>131</v>
      </c>
      <c r="B5" s="16" t="s">
        <v>132</v>
      </c>
    </row>
    <row r="6" spans="1:2" x14ac:dyDescent="0.25">
      <c r="A6" s="16" t="s">
        <v>96</v>
      </c>
      <c r="B6" s="16" t="s">
        <v>133</v>
      </c>
    </row>
    <row r="7" spans="1:2" x14ac:dyDescent="0.25">
      <c r="A7" s="16" t="s">
        <v>134</v>
      </c>
      <c r="B7" s="16" t="s">
        <v>135</v>
      </c>
    </row>
    <row r="8" spans="1:2" x14ac:dyDescent="0.25">
      <c r="A8" s="16" t="s">
        <v>136</v>
      </c>
      <c r="B8" s="16" t="s">
        <v>137</v>
      </c>
    </row>
    <row r="9" spans="1:2" x14ac:dyDescent="0.25">
      <c r="A9" s="16" t="s">
        <v>138</v>
      </c>
      <c r="B9" s="16" t="s">
        <v>139</v>
      </c>
    </row>
    <row r="10" spans="1:2" x14ac:dyDescent="0.25">
      <c r="A10" s="16" t="s">
        <v>140</v>
      </c>
      <c r="B10" s="16" t="s">
        <v>2</v>
      </c>
    </row>
    <row r="11" spans="1:2" x14ac:dyDescent="0.25">
      <c r="A11" s="16" t="s">
        <v>141</v>
      </c>
      <c r="B11" s="16" t="s">
        <v>142</v>
      </c>
    </row>
    <row r="12" spans="1:2" x14ac:dyDescent="0.25">
      <c r="A12" s="16" t="s">
        <v>143</v>
      </c>
      <c r="B12" s="16">
        <v>6</v>
      </c>
    </row>
    <row r="13" spans="1:2" x14ac:dyDescent="0.25">
      <c r="A13" s="16" t="s">
        <v>144</v>
      </c>
      <c r="B13" s="16" t="s">
        <v>145</v>
      </c>
    </row>
    <row r="14" spans="1:2" x14ac:dyDescent="0.25">
      <c r="A14" s="16" t="s">
        <v>146</v>
      </c>
      <c r="B14" s="16" t="s">
        <v>147</v>
      </c>
    </row>
    <row r="15" spans="1:2" x14ac:dyDescent="0.25">
      <c r="A15" s="16" t="s">
        <v>148</v>
      </c>
      <c r="B15" s="16" t="s">
        <v>149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2026-08-29T10:26:56Z</dcterms:created>
  <dcterms:modified xsi:type="dcterms:W3CDTF">2026-09-14T10:41:35Z</dcterms:modified>
</cp:coreProperties>
</file>