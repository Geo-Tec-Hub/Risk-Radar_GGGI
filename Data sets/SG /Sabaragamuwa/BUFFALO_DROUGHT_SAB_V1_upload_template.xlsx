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E:\GGGI\FINAL_after_validation\SUBMISSION\WEB\Template fom milinda Sir\SG\Sabaragamuwa\"/>
    </mc:Choice>
  </mc:AlternateContent>
  <xr:revisionPtr revIDLastSave="0" documentId="13_ncr:1_{369C736C-802C-49D4-BAD6-5E9AE03B8959}" xr6:coauthVersionLast="47" xr6:coauthVersionMax="47" xr10:uidLastSave="{00000000-0000-0000-0000-000000000000}"/>
  <bookViews>
    <workbookView xWindow="-120" yWindow="-120" windowWidth="20730" windowHeight="11160" xr2:uid="{00000000-000D-0000-FFFF-FFFF00000000}"/>
  </bookViews>
  <sheets>
    <sheet name="2021-2025" sheetId="1" r:id="rId1"/>
    <sheet name="2026-2030" sheetId="2" r:id="rId2"/>
    <sheet name="WEIGHTS" sheetId="3" r:id="rId3"/>
    <sheet name="README" sheetId="4" r:id="rId4"/>
    <sheet name="_META"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4" i="3" l="1"/>
  <c r="F23" i="3"/>
</calcChain>
</file>

<file path=xl/sharedStrings.xml><?xml version="1.0" encoding="utf-8"?>
<sst xmlns="http://schemas.openxmlformats.org/spreadsheetml/2006/main" count="498" uniqueCount="194">
  <si>
    <t>RAW DATA 2020-2025 - Livestock Sector / Buffalo Farming - Drought - Sabaragamuwa Province   [profile BUFFALO_DROUGHT_SAB_V1]   |   Enter RAW values only - the system normalizes.</t>
  </si>
  <si>
    <t>DS_CODE</t>
  </si>
  <si>
    <t>DS_DIVISION</t>
  </si>
  <si>
    <t>DISTRICT</t>
  </si>
  <si>
    <t>YEAR_START</t>
  </si>
  <si>
    <t>YEAR_END</t>
  </si>
  <si>
    <t>DROUGHT_EVENTS_1974_TO_2022</t>
  </si>
  <si>
    <t>DROUGHT_HAZARD_INDEX</t>
  </si>
  <si>
    <t>OCCURRENCE_WARM_DAYS</t>
  </si>
  <si>
    <t>STANDARD_PRECIPITATION_INDEX</t>
  </si>
  <si>
    <t>BUFFALO_FARMERS</t>
  </si>
  <si>
    <t>BUFFALO_FARMS</t>
  </si>
  <si>
    <t>BUFFALO_MILK_PRODUCTION_FARMS</t>
  </si>
  <si>
    <t>BUFFALO_POPULATION</t>
  </si>
  <si>
    <t>LIVESTOCK_FARMERS</t>
  </si>
  <si>
    <t>MITCH_BUFFALOES_ANNUAL_MILK_PRODUCTION</t>
  </si>
  <si>
    <t>MITCH_BUFFALOES_DAILY_MILK_PRODUCTION</t>
  </si>
  <si>
    <t>MITCH_BUFFALOES_MONTHLY_MILK_PRODUCTION</t>
  </si>
  <si>
    <t>PASTURE_FODDER_EXTENT_ACRE</t>
  </si>
  <si>
    <t>PCT_BUFFALO_FARMERS_LIVESTOCK_OPERATORS</t>
  </si>
  <si>
    <t>PCT_EXTENSIVE</t>
  </si>
  <si>
    <t>PCT_INTENSIVE</t>
  </si>
  <si>
    <t>PCT_LIVESTOCK_FARMERS_AGRICULTURAL_OPERATORS</t>
  </si>
  <si>
    <t>PCT_SEMI_INTENSIVE</t>
  </si>
  <si>
    <t>DATA_SOURCE</t>
  </si>
  <si>
    <t>NOTES</t>
  </si>
  <si>
    <t>do not edit</t>
  </si>
  <si>
    <t>hazard: Drought Hazard  Index
&gt;&gt; fixed window - same value on both period tabs</t>
  </si>
  <si>
    <t>hazard: Occurrence of warm days (TX90p)
&gt;&gt; fixed window - same value on both period tabs</t>
  </si>
  <si>
    <t>hazard: SPI (Intensity)
&gt;&gt; fixed window - same value on both period tabs</t>
  </si>
  <si>
    <t>exposure: # of Buffalo Farmers
&gt;&gt; enter a TYPICAL YEAR (not a total)</t>
  </si>
  <si>
    <t>exposure: No. of Buffalo Farms
&gt;&gt; enter a TYPICAL YEAR (not a total)</t>
  </si>
  <si>
    <t>exposure: No.of Buffalo Milk Production Farms
&gt;&gt; enter a TYPICAL YEAR (not a total)</t>
  </si>
  <si>
    <t>exposure: Buffalo Population
&gt;&gt; enter a TYPICAL YEAR (not a total)</t>
  </si>
  <si>
    <t>exposure: Total livestock farmers
&gt;&gt; enter a TYPICAL YEAR (not a total)</t>
  </si>
  <si>
    <t>exposure: Annual Mitch Buffalo Milk Production (l)
&gt;&gt; enter a TYPICAL YEAR (not a total)</t>
  </si>
  <si>
    <t>exposure: Daily Mitch Buffaloes Milk Production (l)
&gt;&gt; enter a TYPICAL YEAR (not a total)</t>
  </si>
  <si>
    <t>exposure: Mitch Buffalo Monthly Milk Production (l)
&gt;&gt; enter a TYPICAL YEAR (not a total)</t>
  </si>
  <si>
    <t>exposure: Pasture &amp; Fodder Extent (Acre)
&gt;&gt; enter a TYPICAL YEAR (not a total)</t>
  </si>
  <si>
    <t>exposure: % of Buffalo Farmers from total livestock operators
&gt;&gt; enter a TYPICAL YEAR (not a total)</t>
  </si>
  <si>
    <t>exposure: % Extensive
&gt;&gt; enter a TYPICAL YEAR (not a total)</t>
  </si>
  <si>
    <t>exposure: % Intensive
&gt;&gt; enter a TYPICAL YEAR (not a total)</t>
  </si>
  <si>
    <t>exposure: % livestock farmers from total Agricultural Operators
&gt;&gt; enter a TYPICAL YEAR (not a total)</t>
  </si>
  <si>
    <t>exposure: % Semi Intensive
&gt;&gt; enter a TYPICAL YEAR (not a total)</t>
  </si>
  <si>
    <t>origin of the numbers</t>
  </si>
  <si>
    <t>optional</t>
  </si>
  <si>
    <t>EXAMPLE</t>
  </si>
  <si>
    <t>- sample formatting, do not edit -</t>
  </si>
  <si>
    <t>-</t>
  </si>
  <si>
    <t>Dept. report 2020-2025</t>
  </si>
  <si>
    <t>example row</t>
  </si>
  <si>
    <t>KE1</t>
  </si>
  <si>
    <t>Aranayake</t>
  </si>
  <si>
    <t>Kegalle</t>
  </si>
  <si>
    <t>KE2</t>
  </si>
  <si>
    <t>Bulathkohipitiya</t>
  </si>
  <si>
    <t>KE3</t>
  </si>
  <si>
    <t>Dehiowita</t>
  </si>
  <si>
    <t>KE4</t>
  </si>
  <si>
    <t>Deraniyagala</t>
  </si>
  <si>
    <t>KE5</t>
  </si>
  <si>
    <t>Galigamuwa</t>
  </si>
  <si>
    <t>KE6</t>
  </si>
  <si>
    <t>KE7</t>
  </si>
  <si>
    <t>Mawanella</t>
  </si>
  <si>
    <t>KE8</t>
  </si>
  <si>
    <t>Rambukkana</t>
  </si>
  <si>
    <t>KE9</t>
  </si>
  <si>
    <t>Ruwanwella</t>
  </si>
  <si>
    <t>KE10</t>
  </si>
  <si>
    <t>Warakapola</t>
  </si>
  <si>
    <t>KE11</t>
  </si>
  <si>
    <t>Yatiyantota</t>
  </si>
  <si>
    <t>RA1</t>
  </si>
  <si>
    <t>Ayagama</t>
  </si>
  <si>
    <t>Ratnapura</t>
  </si>
  <si>
    <t>RA2</t>
  </si>
  <si>
    <t>Balangoda</t>
  </si>
  <si>
    <t>RA3</t>
  </si>
  <si>
    <t>Eheliyagoda</t>
  </si>
  <si>
    <t>RA4</t>
  </si>
  <si>
    <t>Elapatha</t>
  </si>
  <si>
    <t>RA5</t>
  </si>
  <si>
    <t>Embilipitiya</t>
  </si>
  <si>
    <t>RA6</t>
  </si>
  <si>
    <t>Godakawela</t>
  </si>
  <si>
    <t>RA7</t>
  </si>
  <si>
    <t>Imbulpe</t>
  </si>
  <si>
    <t>RA8</t>
  </si>
  <si>
    <t>Kahawattha</t>
  </si>
  <si>
    <t>RA9</t>
  </si>
  <si>
    <t>Kalawana</t>
  </si>
  <si>
    <t>RA10</t>
  </si>
  <si>
    <t>Kalthota</t>
  </si>
  <si>
    <t>RA11</t>
  </si>
  <si>
    <t>Kiriella</t>
  </si>
  <si>
    <t>RA12</t>
  </si>
  <si>
    <t>Kolonna</t>
  </si>
  <si>
    <t>RA13</t>
  </si>
  <si>
    <t>Kuruvita</t>
  </si>
  <si>
    <t>RA14</t>
  </si>
  <si>
    <t>Nivithigala</t>
  </si>
  <si>
    <t>RA15</t>
  </si>
  <si>
    <t>Opanayake</t>
  </si>
  <si>
    <t>RA16</t>
  </si>
  <si>
    <t>Pelmadulla</t>
  </si>
  <si>
    <t>RA17</t>
  </si>
  <si>
    <t>RA18</t>
  </si>
  <si>
    <t>Weligepola</t>
  </si>
  <si>
    <t>RAW DATA 2025-2030 - Livestock Sector / Buffalo Farming - Drought - Sabaragamuwa Province   [profile BUFFALO_DROUGHT_SAB_V1]   |   Enter RAW values only - the system normalizes.</t>
  </si>
  <si>
    <t>Dept. report 2025-2030</t>
  </si>
  <si>
    <t>WEIGHTS - Livestock Sector / Buffalo Farming - Drought - Sabaragamuwa Province</t>
  </si>
  <si>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</si>
  <si>
    <t>variable_code</t>
  </si>
  <si>
    <t>variable name</t>
  </si>
  <si>
    <t>domain</t>
  </si>
  <si>
    <t>relationship (+/-)</t>
  </si>
  <si>
    <t>legacy weight %</t>
  </si>
  <si>
    <t>PROPOSED WEIGHT % (read at import)</t>
  </si>
  <si>
    <t>No. of drought events - 1974 to 2022 (1974-2004, 25%, 2005 -2022, 75%)</t>
  </si>
  <si>
    <t>hazard</t>
  </si>
  <si>
    <t>+</t>
  </si>
  <si>
    <t>Drought Hazard  Index</t>
  </si>
  <si>
    <t>Occurrence of warm days (TX90p)</t>
  </si>
  <si>
    <t>SPI (Intensity)</t>
  </si>
  <si>
    <t># of Buffalo Farmers</t>
  </si>
  <si>
    <t>exposure</t>
  </si>
  <si>
    <t>No. of Buffalo Farms</t>
  </si>
  <si>
    <t>No.of Buffalo Milk Production Farms</t>
  </si>
  <si>
    <t>Buffalo Population</t>
  </si>
  <si>
    <t>Total livestock farmers</t>
  </si>
  <si>
    <t>Annual Mitch Buffalo Milk Production (l)</t>
  </si>
  <si>
    <t>Daily Mitch Buffaloes Milk Production (l)</t>
  </si>
  <si>
    <t>Mitch Buffalo Monthly Milk Production (l)</t>
  </si>
  <si>
    <t>Pasture &amp; Fodder Extent (Acre)</t>
  </si>
  <si>
    <t>% of Buffalo Farmers from total livestock operators</t>
  </si>
  <si>
    <t>% Extensive</t>
  </si>
  <si>
    <t>% Intensive</t>
  </si>
  <si>
    <t>% livestock farmers from total Agricultural Operators</t>
  </si>
  <si>
    <t>% Semi Intensive</t>
  </si>
  <si>
    <t>SUM - hazard (must equal 100)</t>
  </si>
  <si>
    <t>SUM - exposure (must equal 100)</t>
  </si>
  <si>
    <t>How to fill this template</t>
  </si>
  <si>
    <t>Profile: BUFFALO_DROUGHT_SAB_V1   |   generated 2026-08-29 from FINAL_VARIABLES.xlsx (expert-refined catalog)</t>
  </si>
  <si>
    <t>1. One tab per data period (2020-2025, 2025-2030). Fill the tab matching your dataset's period; skip tabs with no data.</t>
  </si>
  <si>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</si>
  <si>
    <t>2b. The year 2025 appears in both tabs. If a year sits in two periods the system uses the LATER period's value, so nothing is counted twice.</t>
  </si>
  <si>
    <t>3. REVIEW COPY - nothing is locked. The yellow cells are still where data belongs, but every cell, header and tab can be changed so the panel can mark up structure as well as values. Return the marked-up file; the finalised version will be re-issued locked for collection.</t>
  </si>
  <si>
    <t>4. Enter RAW values in the variable's natural unit - do NOT normalize, index or rank. The system does that.</t>
  </si>
  <si>
    <t>5. Structural changes ARE invited in this review copy - add, rename or reorder columns and note what you changed. This file is NOT importable; the locked re-issue is.</t>
  </si>
  <si>
    <t>6. The grey row on each tab is an example of expected formatting; the importer ignores it.</t>
  </si>
  <si>
    <t>7. Leave a value blank if genuinely unavailable and say why in NOTES.</t>
  </si>
  <si>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</si>
  <si>
    <t>ROWS ARE DISTRICT-LEVEL PLACEHOLDERS pending the official DS-division register. Do not begin bulk data entry until the register is confirmed.</t>
  </si>
  <si>
    <t>Variable dictionary</t>
  </si>
  <si>
    <t>column code</t>
  </si>
  <si>
    <t>relationship</t>
  </si>
  <si>
    <t>period rule</t>
  </si>
  <si>
    <t>fixed window - same value on both period tabs</t>
  </si>
  <si>
    <t>enter a TYPICAL YEAR (not a total)</t>
  </si>
  <si>
    <t>profile_code</t>
  </si>
  <si>
    <t>BUFFALO_DROUGHT_SAB_V1</t>
  </si>
  <si>
    <t>version</t>
  </si>
  <si>
    <t>province</t>
  </si>
  <si>
    <t>Sabaragamuwa</t>
  </si>
  <si>
    <t>main_sector</t>
  </si>
  <si>
    <t>Livestock Sector</t>
  </si>
  <si>
    <t>subsector</t>
  </si>
  <si>
    <t>Buffalo Farming</t>
  </si>
  <si>
    <t>Drought</t>
  </si>
  <si>
    <t>catalog</t>
  </si>
  <si>
    <t>FINAL_VARIABLES.xlsx</t>
  </si>
  <si>
    <t>protection</t>
  </si>
  <si>
    <t>unlocked-review</t>
  </si>
  <si>
    <t>generated</t>
  </si>
  <si>
    <t>2026-08-29</t>
  </si>
  <si>
    <t>dsd_level</t>
  </si>
  <si>
    <t>periods</t>
  </si>
  <si>
    <t>2020-2025|2025-2030</t>
  </si>
  <si>
    <t>n_variables</t>
  </si>
  <si>
    <t>period_rule_default</t>
  </si>
  <si>
    <t>average (typical year); 2025 -&gt; latest period wins</t>
  </si>
  <si>
    <t>period_aggregation</t>
  </si>
  <si>
    <t>DROUGHT_EVENTS_1974_TO_2022=fixed_window|DROUGHT_HAZARD_INDEX=fixed_window|OCCURRENCE_WARM_DAYS=fixed_window|STANDARD_PRECIPITATION_INDEX=fixed_window|BUFFALO_FARMERS=average|BUFFALO_FARMS=average|BUFFALO_MILK_PRODUCTION_FARMS=average|BUFFALO_POPULATION=average|LIVESTOCK_FARMERS=average|MITCH_BUFFALOES_ANNUAL_MILK_PRODUCTION=average|MITCH_BUFFALOES_DAILY_MILK_PRODUCTION=average|MITCH_BUFFALOES_MONTHLY_MILK_PRODUCTION=average|PASTURE_FODDER_EXTENT_ACRE=average|PCT_BUFFALO_FARMERS_LIVESTOCK_OPERATORS=average|PCT_EXTENSIVE=average|PCT_INTENSIVE=average|PCT_LIVESTOCK_FARMERS_AGRICULTURAL_OPERATORS=average|PCT_SEMI_INTENSIVE=average</t>
  </si>
  <si>
    <t>expected_columns</t>
  </si>
  <si>
    <t>DS_CODE|DS_DIVISION|DISTRICT|YEAR_START|YEAR_END|DROUGHT_EVENTS_1974_TO_2022|DROUGHT_HAZARD_INDEX|OCCURRENCE_WARM_DAYS|STANDARD_PRECIPITATION_INDEX|BUFFALO_FARMERS|BUFFALO_FARMS|BUFFALO_MILK_PRODUCTION_FARMS|BUFFALO_POPULATION|LIVESTOCK_FARMERS|MITCH_BUFFALOES_ANNUAL_MILK_PRODUCTION|MITCH_BUFFALOES_DAILY_MILK_PRODUCTION|MITCH_BUFFALOES_MONTHLY_MILK_PRODUCTION|PASTURE_FODDER_EXTENT_ACRE|PCT_BUFFALO_FARMERS_LIVESTOCK_OPERATORS|PCT_EXTENSIVE|PCT_INTENSIVE|PCT_LIVESTOCK_FARMERS_AGRICULTURAL_OPERATORS|PCT_SEMI_INTENSIVE|DATA_SOURCE|NOTES</t>
  </si>
  <si>
    <t>DROUGHT_EVENTS_1974_TO_2004</t>
  </si>
  <si>
    <t>DROUGHT_EVENTS_2005_TO_2022</t>
  </si>
  <si>
    <t>Disaster Management Centre, 2023</t>
  </si>
  <si>
    <t>Department of Animal Production &amp; Health, Sabaragamuwa, 2024</t>
  </si>
  <si>
    <t>source</t>
  </si>
  <si>
    <t>Developed by Project (Based on Department of Meteorology, 2023)</t>
  </si>
  <si>
    <t>hazard: No. of Drought events - 1974 to 2004 (25%)                          &gt;&gt; fixed window - same value on both period tabs</t>
  </si>
  <si>
    <t>hazard: No. of Drought events - 2005 -2022 (75%)                         &gt;&gt; fixed window - same value on both period tabs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</si>
</sst>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9" x14ac:knownFonts="1">
    <font>
      <sz val="11"/>
      <color theme="1"/>
      <name val="Calibri"/>
      <family val="2"/>
      <scheme val="minor"/>
    </font>
    <font>
      <b/>
      <sz val="13"/>
      <name val="Arial"/>
    </font>
    <font>
      <b/>
      <sz val="10"/>
      <color rgb="FFFFFFFF"/>
      <name val="Arial"/>
    </font>
    <font>
      <i/>
      <sz val="8"/>
      <color rgb="FF404040"/>
      <name val="Arial"/>
    </font>
    <font>
      <i/>
      <sz val="10"/>
      <color rgb="FF808080"/>
      <name val="Arial"/>
    </font>
    <font>
      <sz val="10"/>
      <name val="Arial"/>
    </font>
    <font>
      <b/>
      <sz val="11"/>
      <name val="Arial"/>
    </font>
    <font>
      <b/>
      <sz val="10"/>
      <color rgb="FFB00020"/>
      <name val="Arial"/>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0"/>
      <color rgb="FFFFFFFF"/>
      <name val="Arial"/>
      <family val="2"/>
    </font>
    <font>
      <i/>
      <sz val="8"/>
      <color rgb="FFFF0000"/>
      <name val="Arial"/>
      <family val="2"/>
    </font>
    <font>
      <sz val="10"/>
      <color theme="1"/>
      <name val="Arial"/>
      <family val="2"/>
    </font>
    <font>
      <sz val="10"/>
      <name val="Arial"/>
      <family val="2"/>
    </font>
  </fonts>
  <fills count="38">
    <fill>
      <patternFill patternType="none"/>
    </fill>
    <fill>
      <patternFill patternType="gray125"/>
    </fill>
    <fill>
      <patternFill patternType="solid">
        <fgColor rgb="FF1F4E79"/>
      </patternFill>
    </fill>
    <fill>
      <patternFill patternType="solid">
        <fgColor rgb="FFC55A11"/>
      </patternFill>
    </fill>
    <fill>
      <patternFill patternType="solid">
        <fgColor rgb="FF2E7D32"/>
      </patternFill>
    </fill>
    <fill>
      <patternFill patternType="solid">
        <fgColor rgb="FFF2F2F2"/>
      </patternFill>
    </fill>
    <fill>
      <patternFill patternType="solid">
        <fgColor rgb="FFFFF9C4"/>
      </patternFill>
    </fill>
    <fill>
      <patternFill patternType="solid">
        <fgColor rgb="FFE3F2FD"/>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style="thin">
        <color rgb="FFBFBFBF"/>
      </left>
      <right style="thin">
        <color rgb="FFBFBFBF"/>
      </right>
      <top style="thin">
        <color rgb="FFBFBFBF"/>
      </top>
      <bottom style="thin">
        <color rgb="FFBFBFB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BFBFBF"/>
      </left>
      <right style="thin">
        <color rgb="FFBFBFBF"/>
      </right>
      <top/>
      <bottom/>
      <diagonal/>
    </border>
  </borders>
  <cellStyleXfs count="42">
    <xf numFmtId="0" fontId="0" fillId="0" borderId="0"/>
    <xf numFmtId="0" fontId="9" fillId="0" borderId="0" applyNumberFormat="0" applyFill="0" applyBorder="0" applyAlignment="0" applyProtection="0"/>
    <xf numFmtId="0" fontId="10" fillId="0" borderId="2" applyNumberFormat="0" applyFill="0" applyAlignment="0" applyProtection="0"/>
    <xf numFmtId="0" fontId="11" fillId="0" borderId="3" applyNumberFormat="0" applyFill="0" applyAlignment="0" applyProtection="0"/>
    <xf numFmtId="0" fontId="12" fillId="0" borderId="4" applyNumberFormat="0" applyFill="0" applyAlignment="0" applyProtection="0"/>
    <xf numFmtId="0" fontId="12" fillId="0" borderId="0" applyNumberFormat="0" applyFill="0" applyBorder="0" applyAlignment="0" applyProtection="0"/>
    <xf numFmtId="0" fontId="13" fillId="8" borderId="0" applyNumberFormat="0" applyBorder="0" applyAlignment="0" applyProtection="0"/>
    <xf numFmtId="0" fontId="14" fillId="9" borderId="0" applyNumberFormat="0" applyBorder="0" applyAlignment="0" applyProtection="0"/>
    <xf numFmtId="0" fontId="15" fillId="10" borderId="0" applyNumberFormat="0" applyBorder="0" applyAlignment="0" applyProtection="0"/>
    <xf numFmtId="0" fontId="16" fillId="11" borderId="5" applyNumberFormat="0" applyAlignment="0" applyProtection="0"/>
    <xf numFmtId="0" fontId="17" fillId="5" borderId="6" applyNumberFormat="0" applyAlignment="0" applyProtection="0"/>
    <xf numFmtId="0" fontId="18" fillId="5" borderId="5" applyNumberFormat="0" applyAlignment="0" applyProtection="0"/>
    <xf numFmtId="0" fontId="19" fillId="0" borderId="7" applyNumberFormat="0" applyFill="0" applyAlignment="0" applyProtection="0"/>
    <xf numFmtId="0" fontId="20" fillId="12" borderId="8" applyNumberFormat="0" applyAlignment="0" applyProtection="0"/>
    <xf numFmtId="0" fontId="21" fillId="0" borderId="0" applyNumberFormat="0" applyFill="0" applyBorder="0" applyAlignment="0" applyProtection="0"/>
    <xf numFmtId="0" fontId="8" fillId="13" borderId="9" applyNumberFormat="0" applyFont="0" applyAlignment="0" applyProtection="0"/>
    <xf numFmtId="0" fontId="22" fillId="0" borderId="0" applyNumberFormat="0" applyFill="0" applyBorder="0" applyAlignment="0" applyProtection="0"/>
    <xf numFmtId="0" fontId="23" fillId="0" borderId="10" applyNumberFormat="0" applyFill="0" applyAlignment="0" applyProtection="0"/>
    <xf numFmtId="0" fontId="24"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24"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24" fillId="22"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24" fillId="26"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24" fillId="30"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24" fillId="34" borderId="0" applyNumberFormat="0" applyBorder="0" applyAlignment="0" applyProtection="0"/>
    <xf numFmtId="0" fontId="8" fillId="35" borderId="0" applyNumberFormat="0" applyBorder="0" applyAlignment="0" applyProtection="0"/>
    <xf numFmtId="0" fontId="8" fillId="36" borderId="0" applyNumberFormat="0" applyBorder="0" applyAlignment="0" applyProtection="0"/>
    <xf numFmtId="0" fontId="8" fillId="37" borderId="0" applyNumberFormat="0" applyBorder="0" applyAlignment="0" applyProtection="0"/>
  </cellStyleXfs>
  <cellXfs count="31">
    <xf numFmtId="0" fontId="0" fillId="0" borderId="0" xfId="0"/>
    <xf numFmtId="0" fontId="1" fillId="0" borderId="0" xfId="0" applyFont="1"/>
    <xf numFmtId="0" fontId="2" fillId="2" borderId="1" xfId="0" applyFont="1" applyFill="1" applyBorder="1"/>
    <xf numFmtId="0" fontId="2" fillId="3" borderId="1" xfId="0" applyFont="1" applyFill="1" applyBorder="1"/>
    <xf numFmtId="0" fontId="2" fillId="4" borderId="1" xfId="0" applyFont="1" applyFill="1" applyBorder="1"/>
    <xf numFmtId="0" fontId="3" fillId="0" borderId="1" xfId="0" applyFont="1" applyBorder="1" applyAlignment="1">
      <alignment vertical="top" wrapText="1"/>
    </xf>
    <xf numFmtId="0" fontId="4" fillId="5" borderId="1" xfId="0" applyFont="1" applyFill="1" applyBorder="1"/>
    <xf numFmtId="0" fontId="5" fillId="0" borderId="1" xfId="0" applyFont="1" applyBorder="1"/>
    <xf numFmtId="0" fontId="0" fillId="6" borderId="1" xfId="0" applyFill="1" applyBorder="1" applyProtection="1">
      <protection locked="0"/>
    </xf>
    <xf numFmtId="0" fontId="2" fillId="2" borderId="1" xfId="0" applyFont="1" applyFill="1" applyBorder="1" applyAlignment="1">
      <alignment vertical="top" wrapText="1"/>
    </xf>
    <xf numFmtId="0" fontId="5" fillId="0" borderId="1" xfId="0" applyFont="1" applyBorder="1" applyAlignment="1">
      <alignment vertical="top" wrapText="1"/>
    </xf>
    <xf numFmtId="0" fontId="5" fillId="6" borderId="1" xfId="0" applyFont="1" applyFill="1" applyBorder="1" applyAlignment="1" applyProtection="1">
      <alignment vertical="top" wrapText="1"/>
      <protection locked="0"/>
    </xf>
    <xf numFmtId="0" fontId="5" fillId="7" borderId="1" xfId="0" applyFont="1" applyFill="1" applyBorder="1" applyAlignment="1">
      <alignment vertical="top" wrapText="1"/>
    </xf>
    <xf numFmtId="0" fontId="6" fillId="0" borderId="0" xfId="0" applyFont="1"/>
    <xf numFmtId="0" fontId="6" fillId="0" borderId="1" xfId="0" applyFont="1" applyBorder="1"/>
    <xf numFmtId="0" fontId="3" fillId="0" borderId="0" xfId="0" applyFont="1"/>
    <xf numFmtId="0" fontId="5" fillId="0" borderId="0" xfId="0" applyFont="1"/>
    <xf numFmtId="0" fontId="7" fillId="0" borderId="0" xfId="0" applyFont="1"/>
    <xf numFmtId="0" fontId="25" fillId="3" borderId="1" xfId="0" applyFont="1" applyFill="1" applyBorder="1"/>
    <xf numFmtId="0" fontId="26" fillId="0" borderId="1" xfId="0" applyFont="1" applyBorder="1" applyAlignment="1">
      <alignment vertical="top" wrapText="1"/>
    </xf>
    <xf numFmtId="164" fontId="0" fillId="6" borderId="1" xfId="0" applyNumberFormat="1" applyFill="1" applyBorder="1" applyProtection="1">
      <protection locked="0"/>
    </xf>
    <xf numFmtId="0" fontId="25" fillId="2" borderId="11" xfId="0" applyFont="1" applyFill="1" applyBorder="1" applyAlignment="1">
      <alignment vertical="top" wrapText="1"/>
    </xf>
    <xf numFmtId="1" fontId="0" fillId="6" borderId="1" xfId="0" applyNumberFormat="1" applyFill="1" applyBorder="1" applyProtection="1">
      <protection locked="0"/>
    </xf>
    <xf numFmtId="0" fontId="28" fillId="7" borderId="1" xfId="0" applyFont="1" applyFill="1" applyBorder="1" applyAlignment="1">
      <alignment vertical="top" wrapText="1"/>
    </xf>
    <xf numFmtId="0" fontId="28" fillId="0" borderId="1" xfId="0" applyFont="1" applyBorder="1" applyAlignment="1">
      <alignment vertical="top" wrapText="1"/>
    </xf>
    <xf numFmtId="0" fontId="0" fillId="0" borderId="0" xfId="0" applyAlignment="1">
      <alignment vertical="top"/>
    </xf>
    <xf numFmtId="0" fontId="27" fillId="0" borderId="0" xfId="0" applyFont="1" applyAlignment="1">
      <alignment vertical="top"/>
    </xf>
    <xf numFmtId="0" fontId="28" fillId="0" borderId="0" xfId="0" applyFont="1" applyAlignment="1">
      <alignment vertical="top"/>
    </xf>
    <xf numFmtId="0" fontId="1" fillId="0" borderId="0" xfId="0" applyFont="1"/>
    <xf numFmtId="0" fontId="0" fillId="0" borderId="0" xfId="0"/>
    <xf numFmtId="0" fontId="3" fillId="0" borderId="0" xfId="0" applyFont="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33"/>
  <sheetViews>
    <sheetView tabSelected="1" workbookViewId="0">
      <pane xSplit="5" ySplit="3" topLeftCell="F4" activePane="bottomRight" state="frozen"/>
      <selection pane="topRight"/>
      <selection pane="bottomLeft"/>
      <selection pane="bottomRight" activeCell="F12" sqref="F12"/>
    </sheetView>
  </sheetViews>
  <sheetFormatPr defaultRowHeight="15" x14ac:dyDescent="0.25"/>
  <cols>
    <col min="1" max="1" width="14" customWidth="1"/>
    <col min="2" max="2" width="34" customWidth="1"/>
    <col min="3" max="3" width="16" customWidth="1"/>
    <col min="4" max="5" width="11" customWidth="1"/>
    <col min="6" max="26" width="16" customWidth="1"/>
  </cols>
  <sheetData>
    <row r="1" spans="1:26" ht="16.5" x14ac:dyDescent="0.25">
      <c r="A1" s="28" t="s">
        <v>0</v>
      </c>
      <c r="B1" s="29"/>
      <c r="C1" s="29"/>
      <c r="D1" s="29"/>
      <c r="E1" s="29"/>
      <c r="F1" s="29"/>
      <c r="G1" s="29"/>
      <c r="H1" s="29"/>
      <c r="I1" s="29"/>
      <c r="J1" s="29"/>
      <c r="K1" s="29"/>
      <c r="L1" s="29"/>
      <c r="M1" s="29"/>
      <c r="N1" s="29"/>
      <c r="O1" s="29"/>
      <c r="P1" s="29"/>
      <c r="Q1" s="29"/>
      <c r="R1" s="29"/>
      <c r="S1" s="29"/>
      <c r="T1" s="29"/>
      <c r="U1" s="29"/>
      <c r="V1" s="29"/>
      <c r="W1" s="29"/>
      <c r="X1" s="29"/>
      <c r="Y1" s="29"/>
      <c r="Z1" s="29"/>
    </row>
    <row r="2" spans="1:26" x14ac:dyDescent="0.25">
      <c r="A2" s="2" t="s">
        <v>1</v>
      </c>
      <c r="B2" s="2" t="s">
        <v>2</v>
      </c>
      <c r="C2" s="2" t="s">
        <v>3</v>
      </c>
      <c r="D2" s="2" t="s">
        <v>4</v>
      </c>
      <c r="E2" s="2" t="s">
        <v>5</v>
      </c>
      <c r="F2" s="18" t="s">
        <v>186</v>
      </c>
      <c r="G2" s="18" t="s">
        <v>187</v>
      </c>
      <c r="H2" s="3" t="s">
        <v>7</v>
      </c>
      <c r="I2" s="3" t="s">
        <v>8</v>
      </c>
      <c r="J2" s="3" t="s">
        <v>9</v>
      </c>
      <c r="K2" s="4" t="s">
        <v>10</v>
      </c>
      <c r="L2" s="4" t="s">
        <v>11</v>
      </c>
      <c r="M2" s="4" t="s">
        <v>12</v>
      </c>
      <c r="N2" s="4" t="s">
        <v>13</v>
      </c>
      <c r="O2" s="4" t="s">
        <v>14</v>
      </c>
      <c r="P2" s="4" t="s">
        <v>15</v>
      </c>
      <c r="Q2" s="4" t="s">
        <v>16</v>
      </c>
      <c r="R2" s="4" t="s">
        <v>17</v>
      </c>
      <c r="S2" s="4" t="s">
        <v>18</v>
      </c>
      <c r="T2" s="4" t="s">
        <v>19</v>
      </c>
      <c r="U2" s="4" t="s">
        <v>20</v>
      </c>
      <c r="V2" s="4" t="s">
        <v>21</v>
      </c>
      <c r="W2" s="4" t="s">
        <v>22</v>
      </c>
      <c r="X2" s="4" t="s">
        <v>23</v>
      </c>
      <c r="Y2" s="2" t="s">
        <v>24</v>
      </c>
      <c r="Z2" s="2" t="s">
        <v>25</v>
      </c>
    </row>
    <row r="3" spans="1:26" ht="45.95" customHeight="1" x14ac:dyDescent="0.25">
      <c r="A3" s="5" t="s">
        <v>26</v>
      </c>
      <c r="B3" s="5" t="s">
        <v>26</v>
      </c>
      <c r="C3" s="5" t="s">
        <v>26</v>
      </c>
      <c r="D3" s="5" t="s">
        <v>26</v>
      </c>
      <c r="E3" s="5" t="s">
        <v>26</v>
      </c>
      <c r="F3" s="19" t="s">
        <v>192</v>
      </c>
      <c r="G3" s="19" t="s">
        <v>193</v>
      </c>
      <c r="H3" s="5" t="s">
        <v>27</v>
      </c>
      <c r="I3" s="5" t="s">
        <v>28</v>
      </c>
      <c r="J3" s="5" t="s">
        <v>29</v>
      </c>
      <c r="K3" s="5" t="s">
        <v>30</v>
      </c>
      <c r="L3" s="5" t="s">
        <v>31</v>
      </c>
      <c r="M3" s="5" t="s">
        <v>32</v>
      </c>
      <c r="N3" s="5" t="s">
        <v>33</v>
      </c>
      <c r="O3" s="5" t="s">
        <v>34</v>
      </c>
      <c r="P3" s="5" t="s">
        <v>35</v>
      </c>
      <c r="Q3" s="5" t="s">
        <v>36</v>
      </c>
      <c r="R3" s="5" t="s">
        <v>37</v>
      </c>
      <c r="S3" s="5" t="s">
        <v>38</v>
      </c>
      <c r="T3" s="5" t="s">
        <v>39</v>
      </c>
      <c r="U3" s="5" t="s">
        <v>40</v>
      </c>
      <c r="V3" s="5" t="s">
        <v>41</v>
      </c>
      <c r="W3" s="5" t="s">
        <v>42</v>
      </c>
      <c r="X3" s="5" t="s">
        <v>43</v>
      </c>
      <c r="Y3" s="5" t="s">
        <v>44</v>
      </c>
      <c r="Z3" s="5" t="s">
        <v>45</v>
      </c>
    </row>
    <row r="4" spans="1:26" x14ac:dyDescent="0.25">
      <c r="A4" s="6" t="s">
        <v>46</v>
      </c>
      <c r="B4" s="6" t="s">
        <v>47</v>
      </c>
      <c r="C4" s="6" t="s">
        <v>48</v>
      </c>
      <c r="D4" s="6">
        <v>2020</v>
      </c>
      <c r="E4" s="6">
        <v>2025</v>
      </c>
      <c r="F4" s="6"/>
      <c r="G4" s="6"/>
      <c r="H4" s="6"/>
      <c r="I4" s="6">
        <v>175</v>
      </c>
      <c r="J4" s="6">
        <v>212.5</v>
      </c>
      <c r="K4" s="6">
        <v>250</v>
      </c>
      <c r="L4" s="6">
        <v>287.5</v>
      </c>
      <c r="M4" s="6">
        <v>325</v>
      </c>
      <c r="N4" s="6">
        <v>362.5</v>
      </c>
      <c r="O4" s="6">
        <v>400</v>
      </c>
      <c r="P4" s="6">
        <v>437.5</v>
      </c>
      <c r="Q4" s="6">
        <v>475</v>
      </c>
      <c r="R4" s="6">
        <v>512.5</v>
      </c>
      <c r="S4" s="6">
        <v>550</v>
      </c>
      <c r="T4" s="6">
        <v>587.5</v>
      </c>
      <c r="U4" s="6">
        <v>625</v>
      </c>
      <c r="V4" s="6">
        <v>662.5</v>
      </c>
      <c r="W4" s="6">
        <v>700</v>
      </c>
      <c r="X4" s="6">
        <v>737.5</v>
      </c>
      <c r="Y4" s="6" t="s">
        <v>49</v>
      </c>
      <c r="Z4" s="6" t="s">
        <v>50</v>
      </c>
    </row>
    <row r="5" spans="1:26" x14ac:dyDescent="0.25">
      <c r="A5" s="7" t="s">
        <v>51</v>
      </c>
      <c r="B5" s="7" t="s">
        <v>52</v>
      </c>
      <c r="C5" s="7" t="s">
        <v>53</v>
      </c>
      <c r="D5" s="7">
        <v>2021</v>
      </c>
      <c r="E5" s="7">
        <v>2025</v>
      </c>
      <c r="F5" s="8"/>
      <c r="G5" s="8"/>
      <c r="H5" s="8"/>
      <c r="I5" s="20"/>
      <c r="J5" s="8"/>
      <c r="K5" s="8">
        <v>17</v>
      </c>
      <c r="L5" s="8"/>
      <c r="M5" s="8"/>
      <c r="N5" s="8">
        <v>35</v>
      </c>
      <c r="O5" s="8"/>
      <c r="P5" s="22">
        <v>0</v>
      </c>
      <c r="Q5" s="8"/>
      <c r="R5" s="8"/>
      <c r="S5" s="20">
        <v>0.93100000000000005</v>
      </c>
      <c r="T5" s="20">
        <v>2.6941362916006342</v>
      </c>
      <c r="U5" s="8"/>
      <c r="V5" s="8"/>
      <c r="W5" s="8"/>
      <c r="X5" s="8"/>
      <c r="Y5" s="8"/>
      <c r="Z5" s="8"/>
    </row>
    <row r="6" spans="1:26" x14ac:dyDescent="0.25">
      <c r="A6" s="7" t="s">
        <v>54</v>
      </c>
      <c r="B6" s="7" t="s">
        <v>55</v>
      </c>
      <c r="C6" s="7" t="s">
        <v>53</v>
      </c>
      <c r="D6" s="7">
        <v>2021</v>
      </c>
      <c r="E6" s="7">
        <v>2025</v>
      </c>
      <c r="F6" s="8"/>
      <c r="G6" s="8"/>
      <c r="H6" s="8"/>
      <c r="I6" s="20"/>
      <c r="J6" s="8"/>
      <c r="K6" s="8">
        <v>1</v>
      </c>
      <c r="L6" s="8"/>
      <c r="M6" s="8"/>
      <c r="N6" s="8">
        <v>11</v>
      </c>
      <c r="O6" s="8"/>
      <c r="P6" s="22">
        <v>0</v>
      </c>
      <c r="Q6" s="8"/>
      <c r="R6" s="8"/>
      <c r="S6" s="20">
        <v>0</v>
      </c>
      <c r="T6" s="20">
        <v>0.10256410256410256</v>
      </c>
      <c r="U6" s="8"/>
      <c r="V6" s="8"/>
      <c r="W6" s="8"/>
      <c r="X6" s="8"/>
      <c r="Y6" s="8"/>
      <c r="Z6" s="8"/>
    </row>
    <row r="7" spans="1:26" x14ac:dyDescent="0.25">
      <c r="A7" s="7" t="s">
        <v>56</v>
      </c>
      <c r="B7" s="7" t="s">
        <v>57</v>
      </c>
      <c r="C7" s="7" t="s">
        <v>53</v>
      </c>
      <c r="D7" s="7">
        <v>2021</v>
      </c>
      <c r="E7" s="7">
        <v>2025</v>
      </c>
      <c r="F7" s="8"/>
      <c r="G7" s="8"/>
      <c r="H7" s="8"/>
      <c r="I7" s="20"/>
      <c r="J7" s="8"/>
      <c r="K7" s="8">
        <v>11</v>
      </c>
      <c r="L7" s="8"/>
      <c r="M7" s="8"/>
      <c r="N7" s="8">
        <v>130</v>
      </c>
      <c r="O7" s="8"/>
      <c r="P7" s="22">
        <v>7542</v>
      </c>
      <c r="Q7" s="8"/>
      <c r="R7" s="8"/>
      <c r="S7" s="20">
        <v>0.75</v>
      </c>
      <c r="T7" s="20">
        <v>0.99457504520795659</v>
      </c>
      <c r="U7" s="8"/>
      <c r="V7" s="8"/>
      <c r="W7" s="8"/>
      <c r="X7" s="8"/>
      <c r="Y7" s="8"/>
      <c r="Z7" s="8"/>
    </row>
    <row r="8" spans="1:26" x14ac:dyDescent="0.25">
      <c r="A8" s="7" t="s">
        <v>58</v>
      </c>
      <c r="B8" s="7" t="s">
        <v>59</v>
      </c>
      <c r="C8" s="7" t="s">
        <v>53</v>
      </c>
      <c r="D8" s="7">
        <v>2021</v>
      </c>
      <c r="E8" s="7">
        <v>2025</v>
      </c>
      <c r="F8" s="8"/>
      <c r="G8" s="8"/>
      <c r="H8" s="8"/>
      <c r="I8" s="20"/>
      <c r="J8" s="8"/>
      <c r="K8" s="8">
        <v>5</v>
      </c>
      <c r="L8" s="8"/>
      <c r="M8" s="8"/>
      <c r="N8" s="8">
        <v>25</v>
      </c>
      <c r="O8" s="8"/>
      <c r="P8" s="22">
        <v>0</v>
      </c>
      <c r="Q8" s="8"/>
      <c r="R8" s="8"/>
      <c r="S8" s="20">
        <v>0</v>
      </c>
      <c r="T8" s="20">
        <v>1.25</v>
      </c>
      <c r="U8" s="8"/>
      <c r="V8" s="8"/>
      <c r="W8" s="8"/>
      <c r="X8" s="8"/>
      <c r="Y8" s="8"/>
      <c r="Z8" s="8"/>
    </row>
    <row r="9" spans="1:26" x14ac:dyDescent="0.25">
      <c r="A9" s="7" t="s">
        <v>60</v>
      </c>
      <c r="B9" s="7" t="s">
        <v>61</v>
      </c>
      <c r="C9" s="7" t="s">
        <v>53</v>
      </c>
      <c r="D9" s="7">
        <v>2021</v>
      </c>
      <c r="E9" s="7">
        <v>2025</v>
      </c>
      <c r="F9" s="8"/>
      <c r="G9" s="8"/>
      <c r="H9" s="8"/>
      <c r="I9" s="20"/>
      <c r="J9" s="8"/>
      <c r="K9" s="8">
        <v>31</v>
      </c>
      <c r="L9" s="8"/>
      <c r="M9" s="8"/>
      <c r="N9" s="8">
        <v>40</v>
      </c>
      <c r="O9" s="8"/>
      <c r="P9" s="22">
        <v>848</v>
      </c>
      <c r="Q9" s="8"/>
      <c r="R9" s="8"/>
      <c r="S9" s="20">
        <v>5.6000000000000001E-2</v>
      </c>
      <c r="T9" s="20">
        <v>3.3879781420765025</v>
      </c>
      <c r="U9" s="8"/>
      <c r="V9" s="8"/>
      <c r="W9" s="8"/>
      <c r="X9" s="8"/>
      <c r="Y9" s="8"/>
      <c r="Z9" s="8"/>
    </row>
    <row r="10" spans="1:26" x14ac:dyDescent="0.25">
      <c r="A10" s="7" t="s">
        <v>62</v>
      </c>
      <c r="B10" s="7" t="s">
        <v>53</v>
      </c>
      <c r="C10" s="7" t="s">
        <v>53</v>
      </c>
      <c r="D10" s="7">
        <v>2021</v>
      </c>
      <c r="E10" s="7">
        <v>2025</v>
      </c>
      <c r="F10" s="8"/>
      <c r="G10" s="8"/>
      <c r="H10" s="8"/>
      <c r="I10" s="20"/>
      <c r="J10" s="8"/>
      <c r="K10" s="8">
        <v>13</v>
      </c>
      <c r="L10" s="8"/>
      <c r="M10" s="8"/>
      <c r="N10" s="8">
        <v>56</v>
      </c>
      <c r="O10" s="8"/>
      <c r="P10" s="22">
        <v>5545</v>
      </c>
      <c r="Q10" s="8"/>
      <c r="R10" s="8"/>
      <c r="S10" s="20">
        <v>4.7619999999999996</v>
      </c>
      <c r="T10" s="20">
        <v>0.9103641456582634</v>
      </c>
      <c r="U10" s="8"/>
      <c r="V10" s="8"/>
      <c r="W10" s="8"/>
      <c r="X10" s="8"/>
      <c r="Y10" s="8"/>
      <c r="Z10" s="8"/>
    </row>
    <row r="11" spans="1:26" x14ac:dyDescent="0.25">
      <c r="A11" s="7" t="s">
        <v>63</v>
      </c>
      <c r="B11" s="7" t="s">
        <v>64</v>
      </c>
      <c r="C11" s="7" t="s">
        <v>53</v>
      </c>
      <c r="D11" s="7">
        <v>2021</v>
      </c>
      <c r="E11" s="7">
        <v>2025</v>
      </c>
      <c r="F11" s="8"/>
      <c r="G11" s="8"/>
      <c r="H11" s="8"/>
      <c r="I11" s="20"/>
      <c r="J11" s="8"/>
      <c r="K11" s="8">
        <v>35</v>
      </c>
      <c r="L11" s="8"/>
      <c r="M11" s="8"/>
      <c r="N11" s="8">
        <v>97</v>
      </c>
      <c r="O11" s="8"/>
      <c r="P11" s="22">
        <v>0</v>
      </c>
      <c r="Q11" s="8"/>
      <c r="R11" s="8"/>
      <c r="S11" s="20">
        <v>2.0499999999999998</v>
      </c>
      <c r="T11" s="20">
        <v>1.9498607242339834</v>
      </c>
      <c r="U11" s="8"/>
      <c r="V11" s="8"/>
      <c r="W11" s="8"/>
      <c r="X11" s="8"/>
      <c r="Y11" s="8"/>
      <c r="Z11" s="8"/>
    </row>
    <row r="12" spans="1:26" x14ac:dyDescent="0.25">
      <c r="A12" s="7" t="s">
        <v>65</v>
      </c>
      <c r="B12" s="7" t="s">
        <v>66</v>
      </c>
      <c r="C12" s="7" t="s">
        <v>53</v>
      </c>
      <c r="D12" s="7">
        <v>2021</v>
      </c>
      <c r="E12" s="7">
        <v>2025</v>
      </c>
      <c r="F12" s="8"/>
      <c r="G12" s="8"/>
      <c r="H12" s="8"/>
      <c r="I12" s="20"/>
      <c r="J12" s="8"/>
      <c r="K12" s="8">
        <v>33</v>
      </c>
      <c r="L12" s="8"/>
      <c r="M12" s="8"/>
      <c r="N12" s="8">
        <v>50</v>
      </c>
      <c r="O12" s="8"/>
      <c r="P12" s="22">
        <v>365</v>
      </c>
      <c r="Q12" s="8"/>
      <c r="R12" s="8"/>
      <c r="S12" s="20">
        <v>5.3120000000000003</v>
      </c>
      <c r="T12" s="20">
        <v>2.2192333557498318</v>
      </c>
      <c r="U12" s="8"/>
      <c r="V12" s="8"/>
      <c r="W12" s="8"/>
      <c r="X12" s="8"/>
      <c r="Y12" s="8"/>
      <c r="Z12" s="8"/>
    </row>
    <row r="13" spans="1:26" x14ac:dyDescent="0.25">
      <c r="A13" s="7" t="s">
        <v>67</v>
      </c>
      <c r="B13" s="7" t="s">
        <v>68</v>
      </c>
      <c r="C13" s="7" t="s">
        <v>53</v>
      </c>
      <c r="D13" s="7">
        <v>2021</v>
      </c>
      <c r="E13" s="7">
        <v>2025</v>
      </c>
      <c r="F13" s="8"/>
      <c r="G13" s="8"/>
      <c r="H13" s="8"/>
      <c r="I13" s="20"/>
      <c r="J13" s="8"/>
      <c r="K13" s="8">
        <v>9</v>
      </c>
      <c r="L13" s="8"/>
      <c r="M13" s="8"/>
      <c r="N13" s="8">
        <v>85</v>
      </c>
      <c r="O13" s="8"/>
      <c r="P13" s="22">
        <v>6770</v>
      </c>
      <c r="Q13" s="8"/>
      <c r="R13" s="8"/>
      <c r="S13" s="20">
        <v>0.5</v>
      </c>
      <c r="T13" s="20">
        <v>1.7241379310344827</v>
      </c>
      <c r="U13" s="8"/>
      <c r="V13" s="8"/>
      <c r="W13" s="8"/>
      <c r="X13" s="8"/>
      <c r="Y13" s="8"/>
      <c r="Z13" s="8"/>
    </row>
    <row r="14" spans="1:26" x14ac:dyDescent="0.25">
      <c r="A14" s="7" t="s">
        <v>69</v>
      </c>
      <c r="B14" s="7" t="s">
        <v>70</v>
      </c>
      <c r="C14" s="7" t="s">
        <v>53</v>
      </c>
      <c r="D14" s="7">
        <v>2021</v>
      </c>
      <c r="E14" s="7">
        <v>2025</v>
      </c>
      <c r="F14" s="8"/>
      <c r="G14" s="8"/>
      <c r="H14" s="8"/>
      <c r="I14" s="20"/>
      <c r="J14" s="8"/>
      <c r="K14" s="8">
        <v>49</v>
      </c>
      <c r="L14" s="8"/>
      <c r="M14" s="8"/>
      <c r="N14" s="8">
        <v>55</v>
      </c>
      <c r="O14" s="8"/>
      <c r="P14" s="22">
        <v>0</v>
      </c>
      <c r="Q14" s="8"/>
      <c r="R14" s="8"/>
      <c r="S14" s="20">
        <v>0.625</v>
      </c>
      <c r="T14" s="20">
        <v>7.728706624605679</v>
      </c>
      <c r="U14" s="8"/>
      <c r="V14" s="8"/>
      <c r="W14" s="8"/>
      <c r="X14" s="8"/>
      <c r="Y14" s="8"/>
      <c r="Z14" s="8"/>
    </row>
    <row r="15" spans="1:26" x14ac:dyDescent="0.25">
      <c r="A15" s="7" t="s">
        <v>71</v>
      </c>
      <c r="B15" s="7" t="s">
        <v>72</v>
      </c>
      <c r="C15" s="7" t="s">
        <v>53</v>
      </c>
      <c r="D15" s="7">
        <v>2021</v>
      </c>
      <c r="E15" s="7">
        <v>2025</v>
      </c>
      <c r="F15" s="8"/>
      <c r="G15" s="8"/>
      <c r="H15" s="8"/>
      <c r="I15" s="20"/>
      <c r="J15" s="8"/>
      <c r="K15" s="8">
        <v>6</v>
      </c>
      <c r="L15" s="8"/>
      <c r="M15" s="8"/>
      <c r="N15" s="8">
        <v>34</v>
      </c>
      <c r="O15" s="8"/>
      <c r="P15" s="22">
        <v>5234</v>
      </c>
      <c r="Q15" s="8"/>
      <c r="R15" s="8"/>
      <c r="S15" s="20">
        <v>0</v>
      </c>
      <c r="T15" s="20">
        <v>0.74534161490683226</v>
      </c>
      <c r="U15" s="8"/>
      <c r="V15" s="8"/>
      <c r="W15" s="8"/>
      <c r="X15" s="8"/>
      <c r="Y15" s="8"/>
      <c r="Z15" s="8"/>
    </row>
    <row r="16" spans="1:26" x14ac:dyDescent="0.25">
      <c r="A16" s="7" t="s">
        <v>73</v>
      </c>
      <c r="B16" s="7" t="s">
        <v>74</v>
      </c>
      <c r="C16" s="7" t="s">
        <v>75</v>
      </c>
      <c r="D16" s="7">
        <v>2021</v>
      </c>
      <c r="E16" s="7">
        <v>2025</v>
      </c>
      <c r="F16" s="8"/>
      <c r="G16" s="8"/>
      <c r="H16" s="8"/>
      <c r="I16" s="20"/>
      <c r="J16" s="8"/>
      <c r="K16" s="8">
        <v>5</v>
      </c>
      <c r="L16" s="8"/>
      <c r="M16" s="8"/>
      <c r="N16" s="8">
        <v>71</v>
      </c>
      <c r="O16" s="8"/>
      <c r="P16" s="22">
        <v>5660</v>
      </c>
      <c r="Q16" s="8"/>
      <c r="R16" s="8"/>
      <c r="S16" s="20">
        <v>0.125</v>
      </c>
      <c r="T16" s="20">
        <v>2.3809523809523809</v>
      </c>
      <c r="U16" s="8"/>
      <c r="V16" s="8"/>
      <c r="W16" s="8"/>
      <c r="X16" s="8"/>
      <c r="Y16" s="8"/>
      <c r="Z16" s="8"/>
    </row>
    <row r="17" spans="1:26" x14ac:dyDescent="0.25">
      <c r="A17" s="7" t="s">
        <v>76</v>
      </c>
      <c r="B17" s="7" t="s">
        <v>77</v>
      </c>
      <c r="C17" s="7" t="s">
        <v>75</v>
      </c>
      <c r="D17" s="7">
        <v>2021</v>
      </c>
      <c r="E17" s="7">
        <v>2025</v>
      </c>
      <c r="F17" s="8"/>
      <c r="G17" s="8"/>
      <c r="H17" s="8"/>
      <c r="I17" s="20"/>
      <c r="J17" s="8"/>
      <c r="K17" s="8">
        <v>7</v>
      </c>
      <c r="L17" s="8"/>
      <c r="M17" s="8"/>
      <c r="N17" s="8">
        <v>54</v>
      </c>
      <c r="O17" s="8"/>
      <c r="P17" s="22">
        <v>4580</v>
      </c>
      <c r="Q17" s="8"/>
      <c r="R17" s="8"/>
      <c r="S17" s="20">
        <v>1.1559999999999999</v>
      </c>
      <c r="T17" s="20">
        <v>0.74706510138740656</v>
      </c>
      <c r="U17" s="8"/>
      <c r="V17" s="8"/>
      <c r="W17" s="8"/>
      <c r="X17" s="8"/>
      <c r="Y17" s="8"/>
      <c r="Z17" s="8"/>
    </row>
    <row r="18" spans="1:26" x14ac:dyDescent="0.25">
      <c r="A18" s="7" t="s">
        <v>78</v>
      </c>
      <c r="B18" s="7" t="s">
        <v>79</v>
      </c>
      <c r="C18" s="7" t="s">
        <v>75</v>
      </c>
      <c r="D18" s="7">
        <v>2021</v>
      </c>
      <c r="E18" s="7">
        <v>2025</v>
      </c>
      <c r="F18" s="8"/>
      <c r="G18" s="8"/>
      <c r="H18" s="8"/>
      <c r="I18" s="20"/>
      <c r="J18" s="8"/>
      <c r="K18" s="8">
        <v>16</v>
      </c>
      <c r="L18" s="8"/>
      <c r="M18" s="8"/>
      <c r="N18" s="8">
        <v>238</v>
      </c>
      <c r="O18" s="8"/>
      <c r="P18" s="22">
        <v>28026</v>
      </c>
      <c r="Q18" s="8"/>
      <c r="R18" s="8"/>
      <c r="S18" s="20">
        <v>0.75</v>
      </c>
      <c r="T18" s="20">
        <v>3.4261241970021414</v>
      </c>
      <c r="U18" s="8"/>
      <c r="V18" s="8"/>
      <c r="W18" s="8"/>
      <c r="X18" s="8"/>
      <c r="Y18" s="8"/>
      <c r="Z18" s="8"/>
    </row>
    <row r="19" spans="1:26" x14ac:dyDescent="0.25">
      <c r="A19" s="7" t="s">
        <v>80</v>
      </c>
      <c r="B19" s="7" t="s">
        <v>81</v>
      </c>
      <c r="C19" s="7" t="s">
        <v>75</v>
      </c>
      <c r="D19" s="7">
        <v>2021</v>
      </c>
      <c r="E19" s="7">
        <v>2025</v>
      </c>
      <c r="F19" s="8"/>
      <c r="G19" s="8"/>
      <c r="H19" s="8"/>
      <c r="I19" s="20"/>
      <c r="J19" s="8"/>
      <c r="K19" s="8">
        <v>11</v>
      </c>
      <c r="L19" s="8"/>
      <c r="M19" s="8"/>
      <c r="N19" s="8">
        <v>167</v>
      </c>
      <c r="O19" s="8"/>
      <c r="P19" s="22">
        <v>28830</v>
      </c>
      <c r="Q19" s="8"/>
      <c r="R19" s="8"/>
      <c r="S19" s="20">
        <v>0</v>
      </c>
      <c r="T19" s="20">
        <v>5.7291666666666661</v>
      </c>
      <c r="U19" s="8"/>
      <c r="V19" s="8"/>
      <c r="W19" s="8"/>
      <c r="X19" s="8"/>
      <c r="Y19" s="8"/>
      <c r="Z19" s="8"/>
    </row>
    <row r="20" spans="1:26" x14ac:dyDescent="0.25">
      <c r="A20" s="7" t="s">
        <v>82</v>
      </c>
      <c r="B20" s="7" t="s">
        <v>83</v>
      </c>
      <c r="C20" s="7" t="s">
        <v>75</v>
      </c>
      <c r="D20" s="7">
        <v>2021</v>
      </c>
      <c r="E20" s="7">
        <v>2025</v>
      </c>
      <c r="F20" s="8"/>
      <c r="G20" s="8"/>
      <c r="H20" s="8"/>
      <c r="I20" s="20"/>
      <c r="J20" s="8"/>
      <c r="K20" s="8">
        <v>165</v>
      </c>
      <c r="L20" s="8"/>
      <c r="M20" s="8"/>
      <c r="N20" s="8">
        <v>3345</v>
      </c>
      <c r="O20" s="8"/>
      <c r="P20" s="22">
        <v>1021915</v>
      </c>
      <c r="Q20" s="8"/>
      <c r="R20" s="8"/>
      <c r="S20" s="20">
        <v>0.72499999999999998</v>
      </c>
      <c r="T20" s="20">
        <v>22.664835164835164</v>
      </c>
      <c r="U20" s="8"/>
      <c r="V20" s="8"/>
      <c r="W20" s="8"/>
      <c r="X20" s="8"/>
      <c r="Y20" s="8"/>
      <c r="Z20" s="8"/>
    </row>
    <row r="21" spans="1:26" x14ac:dyDescent="0.25">
      <c r="A21" s="7" t="s">
        <v>84</v>
      </c>
      <c r="B21" s="7" t="s">
        <v>85</v>
      </c>
      <c r="C21" s="7" t="s">
        <v>75</v>
      </c>
      <c r="D21" s="7">
        <v>2021</v>
      </c>
      <c r="E21" s="7">
        <v>2025</v>
      </c>
      <c r="F21" s="8"/>
      <c r="G21" s="8"/>
      <c r="H21" s="8"/>
      <c r="I21" s="20"/>
      <c r="J21" s="8"/>
      <c r="K21" s="8">
        <v>7</v>
      </c>
      <c r="L21" s="8"/>
      <c r="M21" s="8"/>
      <c r="N21" s="8">
        <v>103</v>
      </c>
      <c r="O21" s="8"/>
      <c r="P21" s="22">
        <v>14382</v>
      </c>
      <c r="Q21" s="8"/>
      <c r="R21" s="8"/>
      <c r="S21" s="20">
        <v>7</v>
      </c>
      <c r="T21" s="20">
        <v>0.99009900990099009</v>
      </c>
      <c r="U21" s="8"/>
      <c r="V21" s="8"/>
      <c r="W21" s="8"/>
      <c r="X21" s="8"/>
      <c r="Y21" s="8"/>
      <c r="Z21" s="8"/>
    </row>
    <row r="22" spans="1:26" x14ac:dyDescent="0.25">
      <c r="A22" s="7" t="s">
        <v>86</v>
      </c>
      <c r="B22" s="7" t="s">
        <v>87</v>
      </c>
      <c r="C22" s="7" t="s">
        <v>75</v>
      </c>
      <c r="D22" s="7">
        <v>2021</v>
      </c>
      <c r="E22" s="7">
        <v>2025</v>
      </c>
      <c r="F22" s="8"/>
      <c r="G22" s="8"/>
      <c r="H22" s="8"/>
      <c r="I22" s="20"/>
      <c r="J22" s="8"/>
      <c r="K22" s="8">
        <v>7</v>
      </c>
      <c r="L22" s="8"/>
      <c r="M22" s="8"/>
      <c r="N22" s="8">
        <v>54</v>
      </c>
      <c r="O22" s="8"/>
      <c r="P22" s="22">
        <v>4580</v>
      </c>
      <c r="Q22" s="8"/>
      <c r="R22" s="8"/>
      <c r="S22" s="20">
        <v>1.1559999999999999</v>
      </c>
      <c r="T22" s="20">
        <v>0.74706510138740656</v>
      </c>
      <c r="U22" s="8"/>
      <c r="V22" s="8"/>
      <c r="W22" s="8"/>
      <c r="X22" s="8"/>
      <c r="Y22" s="8"/>
      <c r="Z22" s="8"/>
    </row>
    <row r="23" spans="1:26" x14ac:dyDescent="0.25">
      <c r="A23" s="7" t="s">
        <v>88</v>
      </c>
      <c r="B23" s="7" t="s">
        <v>89</v>
      </c>
      <c r="C23" s="7" t="s">
        <v>75</v>
      </c>
      <c r="D23" s="7">
        <v>2021</v>
      </c>
      <c r="E23" s="7">
        <v>2025</v>
      </c>
      <c r="F23" s="8"/>
      <c r="G23" s="8"/>
      <c r="H23" s="8"/>
      <c r="I23" s="20"/>
      <c r="J23" s="8"/>
      <c r="K23" s="8">
        <v>4</v>
      </c>
      <c r="L23" s="8"/>
      <c r="M23" s="8"/>
      <c r="N23" s="8">
        <v>49</v>
      </c>
      <c r="O23" s="8"/>
      <c r="P23" s="22">
        <v>4668</v>
      </c>
      <c r="Q23" s="8"/>
      <c r="R23" s="8"/>
      <c r="S23" s="20">
        <v>0</v>
      </c>
      <c r="T23" s="20">
        <v>1.7543859649122806</v>
      </c>
      <c r="U23" s="8"/>
      <c r="V23" s="8"/>
      <c r="W23" s="8"/>
      <c r="X23" s="8"/>
      <c r="Y23" s="8"/>
      <c r="Z23" s="8"/>
    </row>
    <row r="24" spans="1:26" x14ac:dyDescent="0.25">
      <c r="A24" s="7" t="s">
        <v>90</v>
      </c>
      <c r="B24" s="7" t="s">
        <v>91</v>
      </c>
      <c r="C24" s="7" t="s">
        <v>75</v>
      </c>
      <c r="D24" s="7">
        <v>2021</v>
      </c>
      <c r="E24" s="7">
        <v>2025</v>
      </c>
      <c r="F24" s="8"/>
      <c r="G24" s="8"/>
      <c r="H24" s="8"/>
      <c r="I24" s="20"/>
      <c r="J24" s="8"/>
      <c r="K24" s="8">
        <v>66</v>
      </c>
      <c r="L24" s="8"/>
      <c r="M24" s="8"/>
      <c r="N24" s="8">
        <v>298</v>
      </c>
      <c r="O24" s="8"/>
      <c r="P24" s="22">
        <v>17885</v>
      </c>
      <c r="Q24" s="8"/>
      <c r="R24" s="8"/>
      <c r="S24" s="20">
        <v>0.125</v>
      </c>
      <c r="T24" s="20">
        <v>19.81981981981982</v>
      </c>
      <c r="U24" s="8"/>
      <c r="V24" s="8"/>
      <c r="W24" s="8"/>
      <c r="X24" s="8"/>
      <c r="Y24" s="8"/>
      <c r="Z24" s="8"/>
    </row>
    <row r="25" spans="1:26" x14ac:dyDescent="0.25">
      <c r="A25" s="7" t="s">
        <v>92</v>
      </c>
      <c r="B25" s="7" t="s">
        <v>93</v>
      </c>
      <c r="C25" s="7" t="s">
        <v>75</v>
      </c>
      <c r="D25" s="7">
        <v>2021</v>
      </c>
      <c r="E25" s="7">
        <v>2025</v>
      </c>
      <c r="F25" s="8"/>
      <c r="G25" s="8"/>
      <c r="H25" s="8"/>
      <c r="I25" s="20"/>
      <c r="J25" s="8"/>
      <c r="K25" s="8">
        <v>5</v>
      </c>
      <c r="L25" s="8"/>
      <c r="M25" s="8"/>
      <c r="N25" s="8">
        <v>180</v>
      </c>
      <c r="O25" s="8"/>
      <c r="P25" s="22">
        <v>28385</v>
      </c>
      <c r="Q25" s="8"/>
      <c r="R25" s="8"/>
      <c r="S25" s="20">
        <v>0.1</v>
      </c>
      <c r="T25" s="20">
        <v>5.376344086021505</v>
      </c>
      <c r="U25" s="8"/>
      <c r="V25" s="8"/>
      <c r="W25" s="8"/>
      <c r="X25" s="8"/>
      <c r="Y25" s="8"/>
      <c r="Z25" s="8"/>
    </row>
    <row r="26" spans="1:26" x14ac:dyDescent="0.25">
      <c r="A26" s="7" t="s">
        <v>94</v>
      </c>
      <c r="B26" s="7" t="s">
        <v>95</v>
      </c>
      <c r="C26" s="7" t="s">
        <v>75</v>
      </c>
      <c r="D26" s="7">
        <v>2021</v>
      </c>
      <c r="E26" s="7">
        <v>2025</v>
      </c>
      <c r="F26" s="8"/>
      <c r="G26" s="8"/>
      <c r="H26" s="8"/>
      <c r="I26" s="20"/>
      <c r="J26" s="8"/>
      <c r="K26" s="8">
        <v>9</v>
      </c>
      <c r="L26" s="8"/>
      <c r="M26" s="8"/>
      <c r="N26" s="8">
        <v>222</v>
      </c>
      <c r="O26" s="8"/>
      <c r="P26" s="22">
        <v>44110</v>
      </c>
      <c r="Q26" s="8"/>
      <c r="R26" s="8"/>
      <c r="S26" s="20">
        <v>0.5</v>
      </c>
      <c r="T26" s="20">
        <v>3.2028469750889679</v>
      </c>
      <c r="U26" s="8"/>
      <c r="V26" s="8"/>
      <c r="W26" s="8"/>
      <c r="X26" s="8"/>
      <c r="Y26" s="8"/>
      <c r="Z26" s="8"/>
    </row>
    <row r="27" spans="1:26" x14ac:dyDescent="0.25">
      <c r="A27" s="7" t="s">
        <v>96</v>
      </c>
      <c r="B27" s="7" t="s">
        <v>97</v>
      </c>
      <c r="C27" s="7" t="s">
        <v>75</v>
      </c>
      <c r="D27" s="7">
        <v>2021</v>
      </c>
      <c r="E27" s="7">
        <v>2025</v>
      </c>
      <c r="F27" s="8"/>
      <c r="G27" s="8"/>
      <c r="H27" s="8"/>
      <c r="I27" s="20"/>
      <c r="J27" s="8"/>
      <c r="K27" s="8">
        <v>29</v>
      </c>
      <c r="L27" s="8"/>
      <c r="M27" s="8"/>
      <c r="N27" s="8">
        <v>208</v>
      </c>
      <c r="O27" s="8"/>
      <c r="P27" s="22">
        <v>81339</v>
      </c>
      <c r="Q27" s="8"/>
      <c r="R27" s="8"/>
      <c r="S27" s="20">
        <v>0</v>
      </c>
      <c r="T27" s="20">
        <v>6.7285382830626448</v>
      </c>
      <c r="U27" s="8"/>
      <c r="V27" s="8"/>
      <c r="W27" s="8"/>
      <c r="X27" s="8"/>
      <c r="Y27" s="8"/>
      <c r="Z27" s="8"/>
    </row>
    <row r="28" spans="1:26" x14ac:dyDescent="0.25">
      <c r="A28" s="7" t="s">
        <v>98</v>
      </c>
      <c r="B28" s="7" t="s">
        <v>99</v>
      </c>
      <c r="C28" s="7" t="s">
        <v>75</v>
      </c>
      <c r="D28" s="7">
        <v>2021</v>
      </c>
      <c r="E28" s="7">
        <v>2025</v>
      </c>
      <c r="F28" s="8"/>
      <c r="G28" s="8"/>
      <c r="H28" s="8"/>
      <c r="I28" s="20"/>
      <c r="J28" s="8"/>
      <c r="K28" s="8">
        <v>17</v>
      </c>
      <c r="L28" s="8"/>
      <c r="M28" s="8"/>
      <c r="N28" s="8">
        <v>661</v>
      </c>
      <c r="O28" s="8"/>
      <c r="P28" s="22">
        <v>50100</v>
      </c>
      <c r="Q28" s="8"/>
      <c r="R28" s="8"/>
      <c r="S28" s="20">
        <v>0</v>
      </c>
      <c r="T28" s="20">
        <v>7.2649572649572658</v>
      </c>
      <c r="U28" s="8"/>
      <c r="V28" s="8"/>
      <c r="W28" s="8"/>
      <c r="X28" s="8"/>
      <c r="Y28" s="8"/>
      <c r="Z28" s="8"/>
    </row>
    <row r="29" spans="1:26" x14ac:dyDescent="0.25">
      <c r="A29" s="7" t="s">
        <v>100</v>
      </c>
      <c r="B29" s="7" t="s">
        <v>101</v>
      </c>
      <c r="C29" s="7" t="s">
        <v>75</v>
      </c>
      <c r="D29" s="7">
        <v>2021</v>
      </c>
      <c r="E29" s="7">
        <v>2025</v>
      </c>
      <c r="F29" s="8"/>
      <c r="G29" s="8"/>
      <c r="H29" s="8"/>
      <c r="I29" s="20"/>
      <c r="J29" s="8"/>
      <c r="K29" s="8">
        <v>3</v>
      </c>
      <c r="L29" s="8"/>
      <c r="M29" s="8"/>
      <c r="N29" s="8">
        <v>15</v>
      </c>
      <c r="O29" s="8"/>
      <c r="P29" s="22">
        <v>2130</v>
      </c>
      <c r="Q29" s="8"/>
      <c r="R29" s="8"/>
      <c r="S29" s="20">
        <v>0.187</v>
      </c>
      <c r="T29" s="20">
        <v>0.5988023952095809</v>
      </c>
      <c r="U29" s="8"/>
      <c r="V29" s="8"/>
      <c r="W29" s="8"/>
      <c r="X29" s="8"/>
      <c r="Y29" s="8"/>
      <c r="Z29" s="8"/>
    </row>
    <row r="30" spans="1:26" x14ac:dyDescent="0.25">
      <c r="A30" s="7" t="s">
        <v>102</v>
      </c>
      <c r="B30" s="7" t="s">
        <v>103</v>
      </c>
      <c r="C30" s="7" t="s">
        <v>75</v>
      </c>
      <c r="D30" s="7">
        <v>2021</v>
      </c>
      <c r="E30" s="7">
        <v>2025</v>
      </c>
      <c r="F30" s="8"/>
      <c r="G30" s="8"/>
      <c r="H30" s="8"/>
      <c r="I30" s="20"/>
      <c r="J30" s="8"/>
      <c r="K30" s="8">
        <v>1</v>
      </c>
      <c r="L30" s="8"/>
      <c r="M30" s="8"/>
      <c r="N30" s="8">
        <v>29</v>
      </c>
      <c r="O30" s="8"/>
      <c r="P30" s="22">
        <v>2330</v>
      </c>
      <c r="Q30" s="8"/>
      <c r="R30" s="8"/>
      <c r="S30" s="20">
        <v>0.125</v>
      </c>
      <c r="T30" s="20">
        <v>0.28653295128939826</v>
      </c>
      <c r="U30" s="8"/>
      <c r="V30" s="8"/>
      <c r="W30" s="8"/>
      <c r="X30" s="8"/>
      <c r="Y30" s="8"/>
      <c r="Z30" s="8"/>
    </row>
    <row r="31" spans="1:26" x14ac:dyDescent="0.25">
      <c r="A31" s="7" t="s">
        <v>104</v>
      </c>
      <c r="B31" s="7" t="s">
        <v>105</v>
      </c>
      <c r="C31" s="7" t="s">
        <v>75</v>
      </c>
      <c r="D31" s="7">
        <v>2021</v>
      </c>
      <c r="E31" s="7">
        <v>2025</v>
      </c>
      <c r="F31" s="8"/>
      <c r="G31" s="8"/>
      <c r="H31" s="8"/>
      <c r="I31" s="20"/>
      <c r="J31" s="8"/>
      <c r="K31" s="8">
        <v>5</v>
      </c>
      <c r="L31" s="8"/>
      <c r="M31" s="8"/>
      <c r="N31" s="8">
        <v>80</v>
      </c>
      <c r="O31" s="8"/>
      <c r="P31" s="22">
        <v>20400</v>
      </c>
      <c r="Q31" s="8"/>
      <c r="R31" s="8"/>
      <c r="S31" s="20">
        <v>0.13700000000000001</v>
      </c>
      <c r="T31" s="20">
        <v>1.1876484560570071</v>
      </c>
      <c r="U31" s="8"/>
      <c r="V31" s="8"/>
      <c r="W31" s="8"/>
      <c r="X31" s="8"/>
      <c r="Y31" s="8"/>
      <c r="Z31" s="8"/>
    </row>
    <row r="32" spans="1:26" x14ac:dyDescent="0.25">
      <c r="A32" s="7" t="s">
        <v>106</v>
      </c>
      <c r="B32" s="7" t="s">
        <v>75</v>
      </c>
      <c r="C32" s="7" t="s">
        <v>75</v>
      </c>
      <c r="D32" s="7">
        <v>2021</v>
      </c>
      <c r="E32" s="7">
        <v>2025</v>
      </c>
      <c r="F32" s="8"/>
      <c r="G32" s="8"/>
      <c r="H32" s="8"/>
      <c r="I32" s="20"/>
      <c r="J32" s="8"/>
      <c r="K32" s="8">
        <v>1</v>
      </c>
      <c r="L32" s="8"/>
      <c r="M32" s="8"/>
      <c r="N32" s="8">
        <v>12</v>
      </c>
      <c r="O32" s="8"/>
      <c r="P32" s="22">
        <v>3650</v>
      </c>
      <c r="Q32" s="8"/>
      <c r="R32" s="8"/>
      <c r="S32" s="20">
        <v>0.25</v>
      </c>
      <c r="T32" s="20">
        <v>0.20283975659229209</v>
      </c>
      <c r="U32" s="8"/>
      <c r="V32" s="8"/>
      <c r="W32" s="8"/>
      <c r="X32" s="8"/>
      <c r="Y32" s="8"/>
      <c r="Z32" s="8"/>
    </row>
    <row r="33" spans="1:26" x14ac:dyDescent="0.25">
      <c r="A33" s="7" t="s">
        <v>107</v>
      </c>
      <c r="B33" s="7" t="s">
        <v>108</v>
      </c>
      <c r="C33" s="7" t="s">
        <v>75</v>
      </c>
      <c r="D33" s="7">
        <v>2021</v>
      </c>
      <c r="E33" s="7">
        <v>2025</v>
      </c>
      <c r="F33" s="8"/>
      <c r="G33" s="8"/>
      <c r="H33" s="8"/>
      <c r="I33" s="20"/>
      <c r="J33" s="8"/>
      <c r="K33" s="8">
        <v>15</v>
      </c>
      <c r="L33" s="8"/>
      <c r="M33" s="8"/>
      <c r="N33" s="8">
        <v>600</v>
      </c>
      <c r="O33" s="8"/>
      <c r="P33" s="22">
        <v>61037.7</v>
      </c>
      <c r="Q33" s="8"/>
      <c r="R33" s="8"/>
      <c r="S33" s="20">
        <v>0.125</v>
      </c>
      <c r="T33" s="20">
        <v>5.5762081784386615</v>
      </c>
      <c r="U33" s="8"/>
      <c r="V33" s="8"/>
      <c r="W33" s="8"/>
      <c r="X33" s="8"/>
      <c r="Y33" s="8"/>
      <c r="Z33" s="8"/>
    </row>
  </sheetData>
  <mergeCells count="1">
    <mergeCell ref="A1:Z1"/>
  </mergeCells>
  <dataValidations count="1">
    <dataValidation type="decimal" operator="greaterThanOrEqual" allowBlank="1" errorTitle="Invalid value" error="Raw values must be numbers &gt;= 0." sqref="F5:X33" xr:uid="{00000000-0002-0000-0000-000000000000}">
      <formula1>0</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33"/>
  <sheetViews>
    <sheetView workbookViewId="0">
      <pane xSplit="5" ySplit="3" topLeftCell="F4" activePane="bottomRight" state="frozen"/>
      <selection pane="topRight"/>
      <selection pane="bottomLeft"/>
      <selection pane="bottomRight" activeCell="H8" sqref="H8"/>
    </sheetView>
  </sheetViews>
  <sheetFormatPr defaultRowHeight="15" x14ac:dyDescent="0.25"/>
  <cols>
    <col min="1" max="1" width="14" customWidth="1"/>
    <col min="2" max="2" width="34" customWidth="1"/>
    <col min="3" max="3" width="16" customWidth="1"/>
    <col min="4" max="5" width="11" customWidth="1"/>
    <col min="6" max="26" width="16" customWidth="1"/>
  </cols>
  <sheetData>
    <row r="1" spans="1:26" ht="16.5" x14ac:dyDescent="0.25">
      <c r="A1" s="28" t="s">
        <v>109</v>
      </c>
      <c r="B1" s="29"/>
      <c r="C1" s="29"/>
      <c r="D1" s="29"/>
      <c r="E1" s="29"/>
      <c r="F1" s="29"/>
      <c r="G1" s="29"/>
      <c r="H1" s="29"/>
      <c r="I1" s="29"/>
      <c r="J1" s="29"/>
      <c r="K1" s="29"/>
      <c r="L1" s="29"/>
      <c r="M1" s="29"/>
      <c r="N1" s="29"/>
      <c r="O1" s="29"/>
      <c r="P1" s="29"/>
      <c r="Q1" s="29"/>
      <c r="R1" s="29"/>
      <c r="S1" s="29"/>
      <c r="T1" s="29"/>
      <c r="U1" s="29"/>
      <c r="V1" s="29"/>
      <c r="W1" s="29"/>
      <c r="X1" s="29"/>
      <c r="Y1" s="29"/>
      <c r="Z1" s="29"/>
    </row>
    <row r="2" spans="1:26" x14ac:dyDescent="0.25">
      <c r="A2" s="2" t="s">
        <v>1</v>
      </c>
      <c r="B2" s="2" t="s">
        <v>2</v>
      </c>
      <c r="C2" s="2" t="s">
        <v>3</v>
      </c>
      <c r="D2" s="2" t="s">
        <v>4</v>
      </c>
      <c r="E2" s="2" t="s">
        <v>5</v>
      </c>
      <c r="F2" s="18" t="s">
        <v>186</v>
      </c>
      <c r="G2" s="18" t="s">
        <v>187</v>
      </c>
      <c r="H2" s="3" t="s">
        <v>7</v>
      </c>
      <c r="I2" s="3" t="s">
        <v>8</v>
      </c>
      <c r="J2" s="3" t="s">
        <v>9</v>
      </c>
      <c r="K2" s="4" t="s">
        <v>10</v>
      </c>
      <c r="L2" s="4" t="s">
        <v>11</v>
      </c>
      <c r="M2" s="4" t="s">
        <v>12</v>
      </c>
      <c r="N2" s="4" t="s">
        <v>13</v>
      </c>
      <c r="O2" s="4" t="s">
        <v>14</v>
      </c>
      <c r="P2" s="4" t="s">
        <v>15</v>
      </c>
      <c r="Q2" s="4" t="s">
        <v>16</v>
      </c>
      <c r="R2" s="4" t="s">
        <v>17</v>
      </c>
      <c r="S2" s="4" t="s">
        <v>18</v>
      </c>
      <c r="T2" s="4" t="s">
        <v>19</v>
      </c>
      <c r="U2" s="4" t="s">
        <v>20</v>
      </c>
      <c r="V2" s="4" t="s">
        <v>21</v>
      </c>
      <c r="W2" s="4" t="s">
        <v>22</v>
      </c>
      <c r="X2" s="4" t="s">
        <v>23</v>
      </c>
      <c r="Y2" s="2" t="s">
        <v>24</v>
      </c>
      <c r="Z2" s="2" t="s">
        <v>25</v>
      </c>
    </row>
    <row r="3" spans="1:26" ht="45.95" customHeight="1" x14ac:dyDescent="0.25">
      <c r="A3" s="5" t="s">
        <v>26</v>
      </c>
      <c r="B3" s="5" t="s">
        <v>26</v>
      </c>
      <c r="C3" s="5" t="s">
        <v>26</v>
      </c>
      <c r="D3" s="5" t="s">
        <v>26</v>
      </c>
      <c r="E3" s="5" t="s">
        <v>26</v>
      </c>
      <c r="F3" s="19" t="s">
        <v>192</v>
      </c>
      <c r="G3" s="19" t="s">
        <v>193</v>
      </c>
      <c r="H3" s="5" t="s">
        <v>27</v>
      </c>
      <c r="I3" s="5" t="s">
        <v>28</v>
      </c>
      <c r="J3" s="5" t="s">
        <v>29</v>
      </c>
      <c r="K3" s="5" t="s">
        <v>30</v>
      </c>
      <c r="L3" s="5" t="s">
        <v>31</v>
      </c>
      <c r="M3" s="5" t="s">
        <v>32</v>
      </c>
      <c r="N3" s="5" t="s">
        <v>33</v>
      </c>
      <c r="O3" s="5" t="s">
        <v>34</v>
      </c>
      <c r="P3" s="5" t="s">
        <v>35</v>
      </c>
      <c r="Q3" s="5" t="s">
        <v>36</v>
      </c>
      <c r="R3" s="5" t="s">
        <v>37</v>
      </c>
      <c r="S3" s="5" t="s">
        <v>38</v>
      </c>
      <c r="T3" s="5" t="s">
        <v>39</v>
      </c>
      <c r="U3" s="5" t="s">
        <v>40</v>
      </c>
      <c r="V3" s="5" t="s">
        <v>41</v>
      </c>
      <c r="W3" s="5" t="s">
        <v>42</v>
      </c>
      <c r="X3" s="5" t="s">
        <v>43</v>
      </c>
      <c r="Y3" s="5" t="s">
        <v>44</v>
      </c>
      <c r="Z3" s="5" t="s">
        <v>45</v>
      </c>
    </row>
    <row r="4" spans="1:26" x14ac:dyDescent="0.25">
      <c r="A4" s="6" t="s">
        <v>46</v>
      </c>
      <c r="B4" s="6" t="s">
        <v>47</v>
      </c>
      <c r="C4" s="6" t="s">
        <v>48</v>
      </c>
      <c r="D4" s="6">
        <v>2025</v>
      </c>
      <c r="E4" s="6">
        <v>2030</v>
      </c>
      <c r="F4" s="6"/>
      <c r="G4" s="6"/>
      <c r="H4" s="6"/>
      <c r="I4" s="6">
        <v>175</v>
      </c>
      <c r="J4" s="6">
        <v>212.5</v>
      </c>
      <c r="K4" s="6">
        <v>250</v>
      </c>
      <c r="L4" s="6">
        <v>287.5</v>
      </c>
      <c r="M4" s="6">
        <v>325</v>
      </c>
      <c r="N4" s="6">
        <v>362.5</v>
      </c>
      <c r="O4" s="6">
        <v>400</v>
      </c>
      <c r="P4" s="6">
        <v>437.5</v>
      </c>
      <c r="Q4" s="6">
        <v>475</v>
      </c>
      <c r="R4" s="6">
        <v>512.5</v>
      </c>
      <c r="S4" s="6">
        <v>550</v>
      </c>
      <c r="T4" s="6">
        <v>587.5</v>
      </c>
      <c r="U4" s="6">
        <v>625</v>
      </c>
      <c r="V4" s="6">
        <v>662.5</v>
      </c>
      <c r="W4" s="6">
        <v>700</v>
      </c>
      <c r="X4" s="6">
        <v>737.5</v>
      </c>
      <c r="Y4" s="6" t="s">
        <v>110</v>
      </c>
      <c r="Z4" s="6" t="s">
        <v>50</v>
      </c>
    </row>
    <row r="5" spans="1:26" x14ac:dyDescent="0.25">
      <c r="A5" s="7" t="s">
        <v>51</v>
      </c>
      <c r="B5" s="7" t="s">
        <v>52</v>
      </c>
      <c r="C5" s="7" t="s">
        <v>53</v>
      </c>
      <c r="D5" s="7">
        <v>2026</v>
      </c>
      <c r="E5" s="7">
        <v>2030</v>
      </c>
      <c r="F5" s="8"/>
      <c r="G5" s="8"/>
      <c r="H5" s="8"/>
      <c r="I5" s="8"/>
      <c r="J5" s="8"/>
      <c r="K5" s="8"/>
      <c r="L5" s="8"/>
      <c r="M5" s="8"/>
      <c r="N5" s="8"/>
      <c r="O5" s="8"/>
      <c r="P5" s="8"/>
      <c r="Q5" s="8"/>
      <c r="R5" s="8"/>
      <c r="S5" s="8"/>
      <c r="T5" s="8"/>
      <c r="U5" s="8"/>
      <c r="V5" s="8"/>
      <c r="W5" s="8"/>
      <c r="X5" s="8"/>
      <c r="Y5" s="8"/>
      <c r="Z5" s="8"/>
    </row>
    <row r="6" spans="1:26" x14ac:dyDescent="0.25">
      <c r="A6" s="7" t="s">
        <v>54</v>
      </c>
      <c r="B6" s="7" t="s">
        <v>55</v>
      </c>
      <c r="C6" s="7" t="s">
        <v>53</v>
      </c>
      <c r="D6" s="7">
        <v>2026</v>
      </c>
      <c r="E6" s="7">
        <v>2030</v>
      </c>
      <c r="F6" s="8"/>
      <c r="G6" s="8"/>
      <c r="H6" s="8"/>
      <c r="I6" s="8"/>
      <c r="J6" s="8"/>
      <c r="K6" s="8"/>
      <c r="L6" s="8"/>
      <c r="M6" s="8"/>
      <c r="N6" s="8"/>
      <c r="O6" s="8"/>
      <c r="P6" s="8"/>
      <c r="Q6" s="8"/>
      <c r="R6" s="8"/>
      <c r="S6" s="8"/>
      <c r="T6" s="8"/>
      <c r="U6" s="8"/>
      <c r="V6" s="8"/>
      <c r="W6" s="8"/>
      <c r="X6" s="8"/>
      <c r="Y6" s="8"/>
      <c r="Z6" s="8"/>
    </row>
    <row r="7" spans="1:26" x14ac:dyDescent="0.25">
      <c r="A7" s="7" t="s">
        <v>56</v>
      </c>
      <c r="B7" s="7" t="s">
        <v>57</v>
      </c>
      <c r="C7" s="7" t="s">
        <v>53</v>
      </c>
      <c r="D7" s="7">
        <v>2026</v>
      </c>
      <c r="E7" s="7">
        <v>2030</v>
      </c>
      <c r="F7" s="8"/>
      <c r="G7" s="8"/>
      <c r="H7" s="8"/>
      <c r="I7" s="8"/>
      <c r="J7" s="8"/>
      <c r="K7" s="8"/>
      <c r="L7" s="8"/>
      <c r="M7" s="8"/>
      <c r="N7" s="8"/>
      <c r="O7" s="8"/>
      <c r="P7" s="8"/>
      <c r="Q7" s="8"/>
      <c r="R7" s="8"/>
      <c r="S7" s="8"/>
      <c r="T7" s="8"/>
      <c r="U7" s="8"/>
      <c r="V7" s="8"/>
      <c r="W7" s="8"/>
      <c r="X7" s="8"/>
      <c r="Y7" s="8"/>
      <c r="Z7" s="8"/>
    </row>
    <row r="8" spans="1:26" x14ac:dyDescent="0.25">
      <c r="A8" s="7" t="s">
        <v>58</v>
      </c>
      <c r="B8" s="7" t="s">
        <v>59</v>
      </c>
      <c r="C8" s="7" t="s">
        <v>53</v>
      </c>
      <c r="D8" s="7">
        <v>2026</v>
      </c>
      <c r="E8" s="7">
        <v>2030</v>
      </c>
      <c r="F8" s="8"/>
      <c r="G8" s="8"/>
      <c r="H8" s="8"/>
      <c r="I8" s="8"/>
      <c r="J8" s="8"/>
      <c r="K8" s="8"/>
      <c r="L8" s="8"/>
      <c r="M8" s="8"/>
      <c r="N8" s="8"/>
      <c r="O8" s="8"/>
      <c r="P8" s="8"/>
      <c r="Q8" s="8"/>
      <c r="R8" s="8"/>
      <c r="S8" s="8"/>
      <c r="T8" s="8"/>
      <c r="U8" s="8"/>
      <c r="V8" s="8"/>
      <c r="W8" s="8"/>
      <c r="X8" s="8"/>
      <c r="Y8" s="8"/>
      <c r="Z8" s="8"/>
    </row>
    <row r="9" spans="1:26" x14ac:dyDescent="0.25">
      <c r="A9" s="7" t="s">
        <v>60</v>
      </c>
      <c r="B9" s="7" t="s">
        <v>61</v>
      </c>
      <c r="C9" s="7" t="s">
        <v>53</v>
      </c>
      <c r="D9" s="7">
        <v>2026</v>
      </c>
      <c r="E9" s="7">
        <v>2030</v>
      </c>
      <c r="F9" s="8"/>
      <c r="G9" s="8"/>
      <c r="H9" s="8"/>
      <c r="I9" s="8"/>
      <c r="J9" s="8"/>
      <c r="K9" s="8"/>
      <c r="L9" s="8"/>
      <c r="M9" s="8"/>
      <c r="N9" s="8"/>
      <c r="O9" s="8"/>
      <c r="P9" s="8"/>
      <c r="Q9" s="8"/>
      <c r="R9" s="8"/>
      <c r="S9" s="8"/>
      <c r="T9" s="8"/>
      <c r="U9" s="8"/>
      <c r="V9" s="8"/>
      <c r="W9" s="8"/>
      <c r="X9" s="8"/>
      <c r="Y9" s="8"/>
      <c r="Z9" s="8"/>
    </row>
    <row r="10" spans="1:26" x14ac:dyDescent="0.25">
      <c r="A10" s="7" t="s">
        <v>62</v>
      </c>
      <c r="B10" s="7" t="s">
        <v>53</v>
      </c>
      <c r="C10" s="7" t="s">
        <v>53</v>
      </c>
      <c r="D10" s="7">
        <v>2026</v>
      </c>
      <c r="E10" s="7">
        <v>2030</v>
      </c>
      <c r="F10" s="8"/>
      <c r="G10" s="8"/>
      <c r="H10" s="8"/>
      <c r="I10" s="8"/>
      <c r="J10" s="8"/>
      <c r="K10" s="8"/>
      <c r="L10" s="8"/>
      <c r="M10" s="8"/>
      <c r="N10" s="8"/>
      <c r="O10" s="8"/>
      <c r="P10" s="8"/>
      <c r="Q10" s="8"/>
      <c r="R10" s="8"/>
      <c r="S10" s="8"/>
      <c r="T10" s="8"/>
      <c r="U10" s="8"/>
      <c r="V10" s="8"/>
      <c r="W10" s="8"/>
      <c r="X10" s="8"/>
      <c r="Y10" s="8"/>
      <c r="Z10" s="8"/>
    </row>
    <row r="11" spans="1:26" x14ac:dyDescent="0.25">
      <c r="A11" s="7" t="s">
        <v>63</v>
      </c>
      <c r="B11" s="7" t="s">
        <v>64</v>
      </c>
      <c r="C11" s="7" t="s">
        <v>53</v>
      </c>
      <c r="D11" s="7">
        <v>2026</v>
      </c>
      <c r="E11" s="7">
        <v>2030</v>
      </c>
      <c r="F11" s="8"/>
      <c r="G11" s="8"/>
      <c r="H11" s="8"/>
      <c r="I11" s="8"/>
      <c r="J11" s="8"/>
      <c r="K11" s="8"/>
      <c r="L11" s="8"/>
      <c r="M11" s="8"/>
      <c r="N11" s="8"/>
      <c r="O11" s="8"/>
      <c r="P11" s="8"/>
      <c r="Q11" s="8"/>
      <c r="R11" s="8"/>
      <c r="S11" s="8"/>
      <c r="T11" s="8"/>
      <c r="U11" s="8"/>
      <c r="V11" s="8"/>
      <c r="W11" s="8"/>
      <c r="X11" s="8"/>
      <c r="Y11" s="8"/>
      <c r="Z11" s="8"/>
    </row>
    <row r="12" spans="1:26" x14ac:dyDescent="0.25">
      <c r="A12" s="7" t="s">
        <v>65</v>
      </c>
      <c r="B12" s="7" t="s">
        <v>66</v>
      </c>
      <c r="C12" s="7" t="s">
        <v>53</v>
      </c>
      <c r="D12" s="7">
        <v>2026</v>
      </c>
      <c r="E12" s="7">
        <v>2030</v>
      </c>
      <c r="F12" s="8"/>
      <c r="G12" s="8"/>
      <c r="H12" s="8"/>
      <c r="I12" s="8"/>
      <c r="J12" s="8"/>
      <c r="K12" s="8"/>
      <c r="L12" s="8"/>
      <c r="M12" s="8"/>
      <c r="N12" s="8"/>
      <c r="O12" s="8"/>
      <c r="P12" s="8"/>
      <c r="Q12" s="8"/>
      <c r="R12" s="8"/>
      <c r="S12" s="8"/>
      <c r="T12" s="8"/>
      <c r="U12" s="8"/>
      <c r="V12" s="8"/>
      <c r="W12" s="8"/>
      <c r="X12" s="8"/>
      <c r="Y12" s="8"/>
      <c r="Z12" s="8"/>
    </row>
    <row r="13" spans="1:26" x14ac:dyDescent="0.25">
      <c r="A13" s="7" t="s">
        <v>67</v>
      </c>
      <c r="B13" s="7" t="s">
        <v>68</v>
      </c>
      <c r="C13" s="7" t="s">
        <v>53</v>
      </c>
      <c r="D13" s="7">
        <v>2026</v>
      </c>
      <c r="E13" s="7">
        <v>2030</v>
      </c>
      <c r="F13" s="8"/>
      <c r="G13" s="8"/>
      <c r="H13" s="8"/>
      <c r="I13" s="8"/>
      <c r="J13" s="8"/>
      <c r="K13" s="8"/>
      <c r="L13" s="8"/>
      <c r="M13" s="8"/>
      <c r="N13" s="8"/>
      <c r="O13" s="8"/>
      <c r="P13" s="8"/>
      <c r="Q13" s="8"/>
      <c r="R13" s="8"/>
      <c r="S13" s="8"/>
      <c r="T13" s="8"/>
      <c r="U13" s="8"/>
      <c r="V13" s="8"/>
      <c r="W13" s="8"/>
      <c r="X13" s="8"/>
      <c r="Y13" s="8"/>
      <c r="Z13" s="8"/>
    </row>
    <row r="14" spans="1:26" x14ac:dyDescent="0.25">
      <c r="A14" s="7" t="s">
        <v>69</v>
      </c>
      <c r="B14" s="7" t="s">
        <v>70</v>
      </c>
      <c r="C14" s="7" t="s">
        <v>53</v>
      </c>
      <c r="D14" s="7">
        <v>2026</v>
      </c>
      <c r="E14" s="7">
        <v>2030</v>
      </c>
      <c r="F14" s="8"/>
      <c r="G14" s="8"/>
      <c r="H14" s="8"/>
      <c r="I14" s="8"/>
      <c r="J14" s="8"/>
      <c r="K14" s="8"/>
      <c r="L14" s="8"/>
      <c r="M14" s="8"/>
      <c r="N14" s="8"/>
      <c r="O14" s="8"/>
      <c r="P14" s="8"/>
      <c r="Q14" s="8"/>
      <c r="R14" s="8"/>
      <c r="S14" s="8"/>
      <c r="T14" s="8"/>
      <c r="U14" s="8"/>
      <c r="V14" s="8"/>
      <c r="W14" s="8"/>
      <c r="X14" s="8"/>
      <c r="Y14" s="8"/>
      <c r="Z14" s="8"/>
    </row>
    <row r="15" spans="1:26" x14ac:dyDescent="0.25">
      <c r="A15" s="7" t="s">
        <v>71</v>
      </c>
      <c r="B15" s="7" t="s">
        <v>72</v>
      </c>
      <c r="C15" s="7" t="s">
        <v>53</v>
      </c>
      <c r="D15" s="7">
        <v>2026</v>
      </c>
      <c r="E15" s="7">
        <v>2030</v>
      </c>
      <c r="F15" s="8"/>
      <c r="G15" s="8"/>
      <c r="H15" s="8"/>
      <c r="I15" s="8"/>
      <c r="J15" s="8"/>
      <c r="K15" s="8"/>
      <c r="L15" s="8"/>
      <c r="M15" s="8"/>
      <c r="N15" s="8"/>
      <c r="O15" s="8"/>
      <c r="P15" s="8"/>
      <c r="Q15" s="8"/>
      <c r="R15" s="8"/>
      <c r="S15" s="8"/>
      <c r="T15" s="8"/>
      <c r="U15" s="8"/>
      <c r="V15" s="8"/>
      <c r="W15" s="8"/>
      <c r="X15" s="8"/>
      <c r="Y15" s="8"/>
      <c r="Z15" s="8"/>
    </row>
    <row r="16" spans="1:26" x14ac:dyDescent="0.25">
      <c r="A16" s="7" t="s">
        <v>73</v>
      </c>
      <c r="B16" s="7" t="s">
        <v>74</v>
      </c>
      <c r="C16" s="7" t="s">
        <v>75</v>
      </c>
      <c r="D16" s="7">
        <v>2026</v>
      </c>
      <c r="E16" s="7">
        <v>2030</v>
      </c>
      <c r="F16" s="8"/>
      <c r="G16" s="8"/>
      <c r="H16" s="8"/>
      <c r="I16" s="8"/>
      <c r="J16" s="8"/>
      <c r="K16" s="8"/>
      <c r="L16" s="8"/>
      <c r="M16" s="8"/>
      <c r="N16" s="8"/>
      <c r="O16" s="8"/>
      <c r="P16" s="8"/>
      <c r="Q16" s="8"/>
      <c r="R16" s="8"/>
      <c r="S16" s="8"/>
      <c r="T16" s="8"/>
      <c r="U16" s="8"/>
      <c r="V16" s="8"/>
      <c r="W16" s="8"/>
      <c r="X16" s="8"/>
      <c r="Y16" s="8"/>
      <c r="Z16" s="8"/>
    </row>
    <row r="17" spans="1:26" x14ac:dyDescent="0.25">
      <c r="A17" s="7" t="s">
        <v>76</v>
      </c>
      <c r="B17" s="7" t="s">
        <v>77</v>
      </c>
      <c r="C17" s="7" t="s">
        <v>75</v>
      </c>
      <c r="D17" s="7">
        <v>2026</v>
      </c>
      <c r="E17" s="7">
        <v>2030</v>
      </c>
      <c r="F17" s="8"/>
      <c r="G17" s="8"/>
      <c r="H17" s="8"/>
      <c r="I17" s="8"/>
      <c r="J17" s="8"/>
      <c r="K17" s="8"/>
      <c r="L17" s="8"/>
      <c r="M17" s="8"/>
      <c r="N17" s="8"/>
      <c r="O17" s="8"/>
      <c r="P17" s="8"/>
      <c r="Q17" s="8"/>
      <c r="R17" s="8"/>
      <c r="S17" s="8"/>
      <c r="T17" s="8"/>
      <c r="U17" s="8"/>
      <c r="V17" s="8"/>
      <c r="W17" s="8"/>
      <c r="X17" s="8"/>
      <c r="Y17" s="8"/>
      <c r="Z17" s="8"/>
    </row>
    <row r="18" spans="1:26" x14ac:dyDescent="0.25">
      <c r="A18" s="7" t="s">
        <v>78</v>
      </c>
      <c r="B18" s="7" t="s">
        <v>79</v>
      </c>
      <c r="C18" s="7" t="s">
        <v>75</v>
      </c>
      <c r="D18" s="7">
        <v>2026</v>
      </c>
      <c r="E18" s="7">
        <v>2030</v>
      </c>
      <c r="F18" s="8"/>
      <c r="G18" s="8"/>
      <c r="H18" s="8"/>
      <c r="I18" s="8"/>
      <c r="J18" s="8"/>
      <c r="K18" s="8"/>
      <c r="L18" s="8"/>
      <c r="M18" s="8"/>
      <c r="N18" s="8"/>
      <c r="O18" s="8"/>
      <c r="P18" s="8"/>
      <c r="Q18" s="8"/>
      <c r="R18" s="8"/>
      <c r="S18" s="8"/>
      <c r="T18" s="8"/>
      <c r="U18" s="8"/>
      <c r="V18" s="8"/>
      <c r="W18" s="8"/>
      <c r="X18" s="8"/>
      <c r="Y18" s="8"/>
      <c r="Z18" s="8"/>
    </row>
    <row r="19" spans="1:26" x14ac:dyDescent="0.25">
      <c r="A19" s="7" t="s">
        <v>80</v>
      </c>
      <c r="B19" s="7" t="s">
        <v>81</v>
      </c>
      <c r="C19" s="7" t="s">
        <v>75</v>
      </c>
      <c r="D19" s="7">
        <v>2026</v>
      </c>
      <c r="E19" s="7">
        <v>2030</v>
      </c>
      <c r="F19" s="8"/>
      <c r="G19" s="8"/>
      <c r="H19" s="8"/>
      <c r="I19" s="8"/>
      <c r="J19" s="8"/>
      <c r="K19" s="8"/>
      <c r="L19" s="8"/>
      <c r="M19" s="8"/>
      <c r="N19" s="8"/>
      <c r="O19" s="8"/>
      <c r="P19" s="8"/>
      <c r="Q19" s="8"/>
      <c r="R19" s="8"/>
      <c r="S19" s="8"/>
      <c r="T19" s="8"/>
      <c r="U19" s="8"/>
      <c r="V19" s="8"/>
      <c r="W19" s="8"/>
      <c r="X19" s="8"/>
      <c r="Y19" s="8"/>
      <c r="Z19" s="8"/>
    </row>
    <row r="20" spans="1:26" x14ac:dyDescent="0.25">
      <c r="A20" s="7" t="s">
        <v>82</v>
      </c>
      <c r="B20" s="7" t="s">
        <v>83</v>
      </c>
      <c r="C20" s="7" t="s">
        <v>75</v>
      </c>
      <c r="D20" s="7">
        <v>2026</v>
      </c>
      <c r="E20" s="7">
        <v>2030</v>
      </c>
      <c r="F20" s="8"/>
      <c r="G20" s="8"/>
      <c r="H20" s="8"/>
      <c r="I20" s="8"/>
      <c r="J20" s="8"/>
      <c r="K20" s="8"/>
      <c r="L20" s="8"/>
      <c r="M20" s="8"/>
      <c r="N20" s="8"/>
      <c r="O20" s="8"/>
      <c r="P20" s="8"/>
      <c r="Q20" s="8"/>
      <c r="R20" s="8"/>
      <c r="S20" s="8"/>
      <c r="T20" s="8"/>
      <c r="U20" s="8"/>
      <c r="V20" s="8"/>
      <c r="W20" s="8"/>
      <c r="X20" s="8"/>
      <c r="Y20" s="8"/>
      <c r="Z20" s="8"/>
    </row>
    <row r="21" spans="1:26" x14ac:dyDescent="0.25">
      <c r="A21" s="7" t="s">
        <v>84</v>
      </c>
      <c r="B21" s="7" t="s">
        <v>85</v>
      </c>
      <c r="C21" s="7" t="s">
        <v>75</v>
      </c>
      <c r="D21" s="7">
        <v>2026</v>
      </c>
      <c r="E21" s="7">
        <v>2030</v>
      </c>
      <c r="F21" s="8"/>
      <c r="G21" s="8"/>
      <c r="H21" s="8"/>
      <c r="I21" s="8"/>
      <c r="J21" s="8"/>
      <c r="K21" s="8"/>
      <c r="L21" s="8"/>
      <c r="M21" s="8"/>
      <c r="N21" s="8"/>
      <c r="O21" s="8"/>
      <c r="P21" s="8"/>
      <c r="Q21" s="8"/>
      <c r="R21" s="8"/>
      <c r="S21" s="8"/>
      <c r="T21" s="8"/>
      <c r="U21" s="8"/>
      <c r="V21" s="8"/>
      <c r="W21" s="8"/>
      <c r="X21" s="8"/>
      <c r="Y21" s="8"/>
      <c r="Z21" s="8"/>
    </row>
    <row r="22" spans="1:26" x14ac:dyDescent="0.25">
      <c r="A22" s="7" t="s">
        <v>86</v>
      </c>
      <c r="B22" s="7" t="s">
        <v>87</v>
      </c>
      <c r="C22" s="7" t="s">
        <v>75</v>
      </c>
      <c r="D22" s="7">
        <v>2026</v>
      </c>
      <c r="E22" s="7">
        <v>2030</v>
      </c>
      <c r="F22" s="8"/>
      <c r="G22" s="8"/>
      <c r="H22" s="8"/>
      <c r="I22" s="8"/>
      <c r="J22" s="8"/>
      <c r="K22" s="8"/>
      <c r="L22" s="8"/>
      <c r="M22" s="8"/>
      <c r="N22" s="8"/>
      <c r="O22" s="8"/>
      <c r="P22" s="8"/>
      <c r="Q22" s="8"/>
      <c r="R22" s="8"/>
      <c r="S22" s="8"/>
      <c r="T22" s="8"/>
      <c r="U22" s="8"/>
      <c r="V22" s="8"/>
      <c r="W22" s="8"/>
      <c r="X22" s="8"/>
      <c r="Y22" s="8"/>
      <c r="Z22" s="8"/>
    </row>
    <row r="23" spans="1:26" x14ac:dyDescent="0.25">
      <c r="A23" s="7" t="s">
        <v>88</v>
      </c>
      <c r="B23" s="7" t="s">
        <v>89</v>
      </c>
      <c r="C23" s="7" t="s">
        <v>75</v>
      </c>
      <c r="D23" s="7">
        <v>2026</v>
      </c>
      <c r="E23" s="7">
        <v>2030</v>
      </c>
      <c r="F23" s="8"/>
      <c r="G23" s="8"/>
      <c r="H23" s="8"/>
      <c r="I23" s="8"/>
      <c r="J23" s="8"/>
      <c r="K23" s="8"/>
      <c r="L23" s="8"/>
      <c r="M23" s="8"/>
      <c r="N23" s="8"/>
      <c r="O23" s="8"/>
      <c r="P23" s="8"/>
      <c r="Q23" s="8"/>
      <c r="R23" s="8"/>
      <c r="S23" s="8"/>
      <c r="T23" s="8"/>
      <c r="U23" s="8"/>
      <c r="V23" s="8"/>
      <c r="W23" s="8"/>
      <c r="X23" s="8"/>
      <c r="Y23" s="8"/>
      <c r="Z23" s="8"/>
    </row>
    <row r="24" spans="1:26" x14ac:dyDescent="0.25">
      <c r="A24" s="7" t="s">
        <v>90</v>
      </c>
      <c r="B24" s="7" t="s">
        <v>91</v>
      </c>
      <c r="C24" s="7" t="s">
        <v>75</v>
      </c>
      <c r="D24" s="7">
        <v>2026</v>
      </c>
      <c r="E24" s="7">
        <v>2030</v>
      </c>
      <c r="F24" s="8"/>
      <c r="G24" s="8"/>
      <c r="H24" s="8"/>
      <c r="I24" s="8"/>
      <c r="J24" s="8"/>
      <c r="K24" s="8"/>
      <c r="L24" s="8"/>
      <c r="M24" s="8"/>
      <c r="N24" s="8"/>
      <c r="O24" s="8"/>
      <c r="P24" s="8"/>
      <c r="Q24" s="8"/>
      <c r="R24" s="8"/>
      <c r="S24" s="8"/>
      <c r="T24" s="8"/>
      <c r="U24" s="8"/>
      <c r="V24" s="8"/>
      <c r="W24" s="8"/>
      <c r="X24" s="8"/>
      <c r="Y24" s="8"/>
      <c r="Z24" s="8"/>
    </row>
    <row r="25" spans="1:26" x14ac:dyDescent="0.25">
      <c r="A25" s="7" t="s">
        <v>92</v>
      </c>
      <c r="B25" s="7" t="s">
        <v>93</v>
      </c>
      <c r="C25" s="7" t="s">
        <v>75</v>
      </c>
      <c r="D25" s="7">
        <v>2026</v>
      </c>
      <c r="E25" s="7">
        <v>2030</v>
      </c>
      <c r="F25" s="8"/>
      <c r="G25" s="8"/>
      <c r="H25" s="8"/>
      <c r="I25" s="8"/>
      <c r="J25" s="8"/>
      <c r="K25" s="8"/>
      <c r="L25" s="8"/>
      <c r="M25" s="8"/>
      <c r="N25" s="8"/>
      <c r="O25" s="8"/>
      <c r="P25" s="8"/>
      <c r="Q25" s="8"/>
      <c r="R25" s="8"/>
      <c r="S25" s="8"/>
      <c r="T25" s="8"/>
      <c r="U25" s="8"/>
      <c r="V25" s="8"/>
      <c r="W25" s="8"/>
      <c r="X25" s="8"/>
      <c r="Y25" s="8"/>
      <c r="Z25" s="8"/>
    </row>
    <row r="26" spans="1:26" x14ac:dyDescent="0.25">
      <c r="A26" s="7" t="s">
        <v>94</v>
      </c>
      <c r="B26" s="7" t="s">
        <v>95</v>
      </c>
      <c r="C26" s="7" t="s">
        <v>75</v>
      </c>
      <c r="D26" s="7">
        <v>2026</v>
      </c>
      <c r="E26" s="7">
        <v>2030</v>
      </c>
      <c r="F26" s="8"/>
      <c r="G26" s="8"/>
      <c r="H26" s="8"/>
      <c r="I26" s="8"/>
      <c r="J26" s="8"/>
      <c r="K26" s="8"/>
      <c r="L26" s="8"/>
      <c r="M26" s="8"/>
      <c r="N26" s="8"/>
      <c r="O26" s="8"/>
      <c r="P26" s="8"/>
      <c r="Q26" s="8"/>
      <c r="R26" s="8"/>
      <c r="S26" s="8"/>
      <c r="T26" s="8"/>
      <c r="U26" s="8"/>
      <c r="V26" s="8"/>
      <c r="W26" s="8"/>
      <c r="X26" s="8"/>
      <c r="Y26" s="8"/>
      <c r="Z26" s="8"/>
    </row>
    <row r="27" spans="1:26" x14ac:dyDescent="0.25">
      <c r="A27" s="7" t="s">
        <v>96</v>
      </c>
      <c r="B27" s="7" t="s">
        <v>97</v>
      </c>
      <c r="C27" s="7" t="s">
        <v>75</v>
      </c>
      <c r="D27" s="7">
        <v>2026</v>
      </c>
      <c r="E27" s="7">
        <v>2030</v>
      </c>
      <c r="F27" s="8"/>
      <c r="G27" s="8"/>
      <c r="H27" s="8"/>
      <c r="I27" s="8"/>
      <c r="J27" s="8"/>
      <c r="K27" s="8"/>
      <c r="L27" s="8"/>
      <c r="M27" s="8"/>
      <c r="N27" s="8"/>
      <c r="O27" s="8"/>
      <c r="P27" s="8"/>
      <c r="Q27" s="8"/>
      <c r="R27" s="8"/>
      <c r="S27" s="8"/>
      <c r="T27" s="8"/>
      <c r="U27" s="8"/>
      <c r="V27" s="8"/>
      <c r="W27" s="8"/>
      <c r="X27" s="8"/>
      <c r="Y27" s="8"/>
      <c r="Z27" s="8"/>
    </row>
    <row r="28" spans="1:26" x14ac:dyDescent="0.25">
      <c r="A28" s="7" t="s">
        <v>98</v>
      </c>
      <c r="B28" s="7" t="s">
        <v>99</v>
      </c>
      <c r="C28" s="7" t="s">
        <v>75</v>
      </c>
      <c r="D28" s="7">
        <v>2026</v>
      </c>
      <c r="E28" s="7">
        <v>2030</v>
      </c>
      <c r="F28" s="8"/>
      <c r="G28" s="8"/>
      <c r="H28" s="8"/>
      <c r="I28" s="8"/>
      <c r="J28" s="8"/>
      <c r="K28" s="8"/>
      <c r="L28" s="8"/>
      <c r="M28" s="8"/>
      <c r="N28" s="8"/>
      <c r="O28" s="8"/>
      <c r="P28" s="8"/>
      <c r="Q28" s="8"/>
      <c r="R28" s="8"/>
      <c r="S28" s="8"/>
      <c r="T28" s="8"/>
      <c r="U28" s="8"/>
      <c r="V28" s="8"/>
      <c r="W28" s="8"/>
      <c r="X28" s="8"/>
      <c r="Y28" s="8"/>
      <c r="Z28" s="8"/>
    </row>
    <row r="29" spans="1:26" x14ac:dyDescent="0.25">
      <c r="A29" s="7" t="s">
        <v>100</v>
      </c>
      <c r="B29" s="7" t="s">
        <v>101</v>
      </c>
      <c r="C29" s="7" t="s">
        <v>75</v>
      </c>
      <c r="D29" s="7">
        <v>2026</v>
      </c>
      <c r="E29" s="7">
        <v>2030</v>
      </c>
      <c r="F29" s="8"/>
      <c r="G29" s="8"/>
      <c r="H29" s="8"/>
      <c r="I29" s="8"/>
      <c r="J29" s="8"/>
      <c r="K29" s="8"/>
      <c r="L29" s="8"/>
      <c r="M29" s="8"/>
      <c r="N29" s="8"/>
      <c r="O29" s="8"/>
      <c r="P29" s="8"/>
      <c r="Q29" s="8"/>
      <c r="R29" s="8"/>
      <c r="S29" s="8"/>
      <c r="T29" s="8"/>
      <c r="U29" s="8"/>
      <c r="V29" s="8"/>
      <c r="W29" s="8"/>
      <c r="X29" s="8"/>
      <c r="Y29" s="8"/>
      <c r="Z29" s="8"/>
    </row>
    <row r="30" spans="1:26" x14ac:dyDescent="0.25">
      <c r="A30" s="7" t="s">
        <v>102</v>
      </c>
      <c r="B30" s="7" t="s">
        <v>103</v>
      </c>
      <c r="C30" s="7" t="s">
        <v>75</v>
      </c>
      <c r="D30" s="7">
        <v>2026</v>
      </c>
      <c r="E30" s="7">
        <v>2030</v>
      </c>
      <c r="F30" s="8"/>
      <c r="G30" s="8"/>
      <c r="H30" s="8"/>
      <c r="I30" s="8"/>
      <c r="J30" s="8"/>
      <c r="K30" s="8"/>
      <c r="L30" s="8"/>
      <c r="M30" s="8"/>
      <c r="N30" s="8"/>
      <c r="O30" s="8"/>
      <c r="P30" s="8"/>
      <c r="Q30" s="8"/>
      <c r="R30" s="8"/>
      <c r="S30" s="8"/>
      <c r="T30" s="8"/>
      <c r="U30" s="8"/>
      <c r="V30" s="8"/>
      <c r="W30" s="8"/>
      <c r="X30" s="8"/>
      <c r="Y30" s="8"/>
      <c r="Z30" s="8"/>
    </row>
    <row r="31" spans="1:26" x14ac:dyDescent="0.25">
      <c r="A31" s="7" t="s">
        <v>104</v>
      </c>
      <c r="B31" s="7" t="s">
        <v>105</v>
      </c>
      <c r="C31" s="7" t="s">
        <v>75</v>
      </c>
      <c r="D31" s="7">
        <v>2026</v>
      </c>
      <c r="E31" s="7">
        <v>2030</v>
      </c>
      <c r="F31" s="8"/>
      <c r="G31" s="8"/>
      <c r="H31" s="8"/>
      <c r="I31" s="8"/>
      <c r="J31" s="8"/>
      <c r="K31" s="8"/>
      <c r="L31" s="8"/>
      <c r="M31" s="8"/>
      <c r="N31" s="8"/>
      <c r="O31" s="8"/>
      <c r="P31" s="8"/>
      <c r="Q31" s="8"/>
      <c r="R31" s="8"/>
      <c r="S31" s="8"/>
      <c r="T31" s="8"/>
      <c r="U31" s="8"/>
      <c r="V31" s="8"/>
      <c r="W31" s="8"/>
      <c r="X31" s="8"/>
      <c r="Y31" s="8"/>
      <c r="Z31" s="8"/>
    </row>
    <row r="32" spans="1:26" x14ac:dyDescent="0.25">
      <c r="A32" s="7" t="s">
        <v>106</v>
      </c>
      <c r="B32" s="7" t="s">
        <v>75</v>
      </c>
      <c r="C32" s="7" t="s">
        <v>75</v>
      </c>
      <c r="D32" s="7">
        <v>2026</v>
      </c>
      <c r="E32" s="7">
        <v>2030</v>
      </c>
      <c r="F32" s="8"/>
      <c r="G32" s="8"/>
      <c r="H32" s="8"/>
      <c r="I32" s="8"/>
      <c r="J32" s="8"/>
      <c r="K32" s="8"/>
      <c r="L32" s="8"/>
      <c r="M32" s="8"/>
      <c r="N32" s="8"/>
      <c r="O32" s="8"/>
      <c r="P32" s="8"/>
      <c r="Q32" s="8"/>
      <c r="R32" s="8"/>
      <c r="S32" s="8"/>
      <c r="T32" s="8"/>
      <c r="U32" s="8"/>
      <c r="V32" s="8"/>
      <c r="W32" s="8"/>
      <c r="X32" s="8"/>
      <c r="Y32" s="8"/>
      <c r="Z32" s="8"/>
    </row>
    <row r="33" spans="1:26" x14ac:dyDescent="0.25">
      <c r="A33" s="7" t="s">
        <v>107</v>
      </c>
      <c r="B33" s="7" t="s">
        <v>108</v>
      </c>
      <c r="C33" s="7" t="s">
        <v>75</v>
      </c>
      <c r="D33" s="7">
        <v>2026</v>
      </c>
      <c r="E33" s="7">
        <v>2030</v>
      </c>
      <c r="F33" s="8"/>
      <c r="G33" s="8"/>
      <c r="H33" s="8"/>
      <c r="I33" s="8"/>
      <c r="J33" s="8"/>
      <c r="K33" s="8"/>
      <c r="L33" s="8"/>
      <c r="M33" s="8"/>
      <c r="N33" s="8"/>
      <c r="O33" s="8"/>
      <c r="P33" s="8"/>
      <c r="Q33" s="8"/>
      <c r="R33" s="8"/>
      <c r="S33" s="8"/>
      <c r="T33" s="8"/>
      <c r="U33" s="8"/>
      <c r="V33" s="8"/>
      <c r="W33" s="8"/>
      <c r="X33" s="8"/>
      <c r="Y33" s="8"/>
      <c r="Z33" s="8"/>
    </row>
  </sheetData>
  <mergeCells count="1">
    <mergeCell ref="A1:Z1"/>
  </mergeCells>
  <dataValidations count="1">
    <dataValidation type="decimal" operator="greaterThanOrEqual" allowBlank="1" errorTitle="Invalid value" error="Raw values must be numbers &gt;= 0." sqref="F5:X33" xr:uid="{00000000-0002-0000-0100-000000000000}">
      <formula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4"/>
  <sheetViews>
    <sheetView workbookViewId="0">
      <selection activeCell="G1" sqref="G1:G1048576"/>
    </sheetView>
  </sheetViews>
  <sheetFormatPr defaultRowHeight="15" x14ac:dyDescent="0.25"/>
  <cols>
    <col min="1" max="1" width="50" customWidth="1"/>
    <col min="2" max="2" width="56" customWidth="1"/>
    <col min="3" max="3" width="12" customWidth="1"/>
    <col min="4" max="4" width="16" customWidth="1"/>
    <col min="5" max="5" width="14" customWidth="1"/>
    <col min="6" max="6" width="20" customWidth="1"/>
    <col min="7" max="7" width="56.7109375" style="25" bestFit="1" customWidth="1"/>
  </cols>
  <sheetData>
    <row r="1" spans="1:7" ht="16.5" x14ac:dyDescent="0.25">
      <c r="A1" s="1" t="s">
        <v>111</v>
      </c>
    </row>
    <row r="2" spans="1:7" ht="62.1" customHeight="1" x14ac:dyDescent="0.25">
      <c r="A2" s="30" t="s">
        <v>112</v>
      </c>
      <c r="B2" s="29"/>
      <c r="C2" s="29"/>
      <c r="D2" s="29"/>
      <c r="E2" s="29"/>
      <c r="F2" s="29"/>
    </row>
    <row r="3" spans="1:7" ht="25.5" x14ac:dyDescent="0.25">
      <c r="A3" s="9" t="s">
        <v>113</v>
      </c>
      <c r="B3" s="9" t="s">
        <v>114</v>
      </c>
      <c r="C3" s="9" t="s">
        <v>115</v>
      </c>
      <c r="D3" s="9" t="s">
        <v>116</v>
      </c>
      <c r="E3" s="9" t="s">
        <v>117</v>
      </c>
      <c r="F3" s="9" t="s">
        <v>118</v>
      </c>
      <c r="G3" s="21" t="s">
        <v>190</v>
      </c>
    </row>
    <row r="4" spans="1:7" ht="25.5" x14ac:dyDescent="0.25">
      <c r="A4" s="10" t="s">
        <v>6</v>
      </c>
      <c r="B4" s="10" t="s">
        <v>119</v>
      </c>
      <c r="C4" s="10" t="s">
        <v>120</v>
      </c>
      <c r="D4" s="10" t="s">
        <v>121</v>
      </c>
      <c r="E4" s="10">
        <v>50</v>
      </c>
      <c r="F4" s="11">
        <v>50</v>
      </c>
      <c r="G4" s="26" t="s">
        <v>188</v>
      </c>
    </row>
    <row r="5" spans="1:7" x14ac:dyDescent="0.25">
      <c r="A5" s="12" t="s">
        <v>7</v>
      </c>
      <c r="B5" s="12" t="s">
        <v>122</v>
      </c>
      <c r="C5" s="12" t="s">
        <v>120</v>
      </c>
      <c r="D5" s="12"/>
      <c r="E5" s="12"/>
      <c r="F5" s="11"/>
    </row>
    <row r="6" spans="1:7" x14ac:dyDescent="0.25">
      <c r="A6" s="10" t="s">
        <v>8</v>
      </c>
      <c r="B6" s="10" t="s">
        <v>123</v>
      </c>
      <c r="C6" s="10" t="s">
        <v>120</v>
      </c>
      <c r="D6" s="10" t="s">
        <v>121</v>
      </c>
      <c r="E6" s="10">
        <v>10</v>
      </c>
      <c r="F6" s="11">
        <v>10</v>
      </c>
      <c r="G6" s="26" t="s">
        <v>191</v>
      </c>
    </row>
    <row r="7" spans="1:7" x14ac:dyDescent="0.25">
      <c r="A7" s="10" t="s">
        <v>9</v>
      </c>
      <c r="B7" s="10" t="s">
        <v>124</v>
      </c>
      <c r="C7" s="10" t="s">
        <v>120</v>
      </c>
      <c r="D7" s="10" t="s">
        <v>121</v>
      </c>
      <c r="E7" s="10">
        <v>40</v>
      </c>
      <c r="F7" s="11">
        <v>40</v>
      </c>
      <c r="G7" s="26" t="s">
        <v>191</v>
      </c>
    </row>
    <row r="8" spans="1:7" x14ac:dyDescent="0.25">
      <c r="A8" s="10" t="s">
        <v>10</v>
      </c>
      <c r="B8" s="24" t="s">
        <v>125</v>
      </c>
      <c r="C8" s="10" t="s">
        <v>126</v>
      </c>
      <c r="D8" s="10" t="s">
        <v>121</v>
      </c>
      <c r="E8" s="10">
        <v>20</v>
      </c>
      <c r="F8" s="11">
        <v>20</v>
      </c>
      <c r="G8" s="27" t="s">
        <v>189</v>
      </c>
    </row>
    <row r="9" spans="1:7" x14ac:dyDescent="0.25">
      <c r="A9" s="12" t="s">
        <v>11</v>
      </c>
      <c r="B9" s="23" t="s">
        <v>127</v>
      </c>
      <c r="C9" s="12" t="s">
        <v>126</v>
      </c>
      <c r="D9" s="12"/>
      <c r="E9" s="12"/>
      <c r="F9" s="11"/>
    </row>
    <row r="10" spans="1:7" x14ac:dyDescent="0.25">
      <c r="A10" s="12" t="s">
        <v>12</v>
      </c>
      <c r="B10" s="23" t="s">
        <v>128</v>
      </c>
      <c r="C10" s="12" t="s">
        <v>126</v>
      </c>
      <c r="D10" s="12"/>
      <c r="E10" s="12"/>
      <c r="F10" s="11"/>
    </row>
    <row r="11" spans="1:7" x14ac:dyDescent="0.25">
      <c r="A11" s="10" t="s">
        <v>13</v>
      </c>
      <c r="B11" s="24" t="s">
        <v>129</v>
      </c>
      <c r="C11" s="10" t="s">
        <v>126</v>
      </c>
      <c r="D11" s="10" t="s">
        <v>121</v>
      </c>
      <c r="E11" s="10">
        <v>20</v>
      </c>
      <c r="F11" s="11">
        <v>20</v>
      </c>
      <c r="G11" s="27" t="s">
        <v>189</v>
      </c>
    </row>
    <row r="12" spans="1:7" x14ac:dyDescent="0.25">
      <c r="A12" s="12" t="s">
        <v>14</v>
      </c>
      <c r="B12" s="23" t="s">
        <v>130</v>
      </c>
      <c r="C12" s="12" t="s">
        <v>126</v>
      </c>
      <c r="D12" s="12"/>
      <c r="E12" s="12"/>
      <c r="F12" s="11"/>
    </row>
    <row r="13" spans="1:7" x14ac:dyDescent="0.25">
      <c r="A13" s="10" t="s">
        <v>15</v>
      </c>
      <c r="B13" s="24" t="s">
        <v>131</v>
      </c>
      <c r="C13" s="10" t="s">
        <v>126</v>
      </c>
      <c r="D13" s="10" t="s">
        <v>121</v>
      </c>
      <c r="E13" s="10">
        <v>40</v>
      </c>
      <c r="F13" s="11">
        <v>40</v>
      </c>
      <c r="G13" s="27" t="s">
        <v>189</v>
      </c>
    </row>
    <row r="14" spans="1:7" x14ac:dyDescent="0.25">
      <c r="A14" s="12" t="s">
        <v>16</v>
      </c>
      <c r="B14" s="23" t="s">
        <v>132</v>
      </c>
      <c r="C14" s="12" t="s">
        <v>126</v>
      </c>
      <c r="D14" s="12"/>
      <c r="E14" s="12"/>
      <c r="F14" s="11"/>
    </row>
    <row r="15" spans="1:7" x14ac:dyDescent="0.25">
      <c r="A15" s="12" t="s">
        <v>17</v>
      </c>
      <c r="B15" s="23" t="s">
        <v>133</v>
      </c>
      <c r="C15" s="12" t="s">
        <v>126</v>
      </c>
      <c r="D15" s="12"/>
      <c r="E15" s="12"/>
      <c r="F15" s="11"/>
    </row>
    <row r="16" spans="1:7" x14ac:dyDescent="0.25">
      <c r="A16" s="10" t="s">
        <v>18</v>
      </c>
      <c r="B16" s="24" t="s">
        <v>134</v>
      </c>
      <c r="C16" s="10" t="s">
        <v>126</v>
      </c>
      <c r="D16" s="10" t="s">
        <v>121</v>
      </c>
      <c r="E16" s="10">
        <v>10</v>
      </c>
      <c r="F16" s="11">
        <v>10</v>
      </c>
      <c r="G16" s="27" t="s">
        <v>189</v>
      </c>
    </row>
    <row r="17" spans="1:7" x14ac:dyDescent="0.25">
      <c r="A17" s="10" t="s">
        <v>19</v>
      </c>
      <c r="B17" s="24" t="s">
        <v>135</v>
      </c>
      <c r="C17" s="10" t="s">
        <v>126</v>
      </c>
      <c r="D17" s="10" t="s">
        <v>121</v>
      </c>
      <c r="E17" s="10">
        <v>10</v>
      </c>
      <c r="F17" s="11">
        <v>10</v>
      </c>
      <c r="G17" s="27" t="s">
        <v>189</v>
      </c>
    </row>
    <row r="18" spans="1:7" x14ac:dyDescent="0.25">
      <c r="A18" s="12" t="s">
        <v>20</v>
      </c>
      <c r="B18" s="12" t="s">
        <v>136</v>
      </c>
      <c r="C18" s="12" t="s">
        <v>126</v>
      </c>
      <c r="D18" s="12"/>
      <c r="E18" s="12"/>
      <c r="F18" s="11"/>
    </row>
    <row r="19" spans="1:7" x14ac:dyDescent="0.25">
      <c r="A19" s="12" t="s">
        <v>21</v>
      </c>
      <c r="B19" s="12" t="s">
        <v>137</v>
      </c>
      <c r="C19" s="12" t="s">
        <v>126</v>
      </c>
      <c r="D19" s="12"/>
      <c r="E19" s="12"/>
      <c r="F19" s="11"/>
    </row>
    <row r="20" spans="1:7" ht="25.5" x14ac:dyDescent="0.25">
      <c r="A20" s="12" t="s">
        <v>22</v>
      </c>
      <c r="B20" s="12" t="s">
        <v>138</v>
      </c>
      <c r="C20" s="12" t="s">
        <v>126</v>
      </c>
      <c r="D20" s="12"/>
      <c r="E20" s="12"/>
      <c r="F20" s="11"/>
    </row>
    <row r="21" spans="1:7" x14ac:dyDescent="0.25">
      <c r="A21" s="12" t="s">
        <v>23</v>
      </c>
      <c r="B21" s="12" t="s">
        <v>139</v>
      </c>
      <c r="C21" s="12" t="s">
        <v>126</v>
      </c>
      <c r="D21" s="12"/>
      <c r="E21" s="12"/>
      <c r="F21" s="11"/>
    </row>
    <row r="23" spans="1:7" x14ac:dyDescent="0.25">
      <c r="A23" s="13" t="s">
        <v>140</v>
      </c>
      <c r="F23" s="14">
        <f>F4+F5+F6+F7</f>
        <v>100</v>
      </c>
    </row>
    <row r="24" spans="1:7" x14ac:dyDescent="0.25">
      <c r="A24" s="13" t="s">
        <v>141</v>
      </c>
      <c r="F24" s="14">
        <f>F8+F9+F10+F11+F12+F13+F14+F15+F16+F17+F18+F19+F20+F21</f>
        <v>100</v>
      </c>
    </row>
  </sheetData>
  <mergeCells count="1">
    <mergeCell ref="A2:F2"/>
  </mergeCells>
  <dataValidations count="1">
    <dataValidation type="decimal" allowBlank="1" errorTitle="Invalid weight" error="Weight must be between 0 and 100." sqref="F4:F21" xr:uid="{00000000-0002-0000-0200-000000000000}">
      <formula1>0</formula1>
      <formula2>100</formula2>
    </dataValidation>
  </dataValidations>
  <pageMargins left="0.75" right="0.75" top="1" bottom="1" header="0.5" footer="0.5"/>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5"/>
  <sheetViews>
    <sheetView topLeftCell="A7" workbookViewId="0"/>
  </sheetViews>
  <sheetFormatPr defaultRowHeight="15" x14ac:dyDescent="0.25"/>
  <cols>
    <col min="1" max="1" width="50" customWidth="1"/>
    <col min="2" max="2" width="60" customWidth="1"/>
    <col min="3" max="3" width="12" customWidth="1"/>
    <col min="4" max="5" width="14" customWidth="1"/>
    <col min="6" max="6" width="40" customWidth="1"/>
  </cols>
  <sheetData>
    <row r="1" spans="1:1" ht="16.5" x14ac:dyDescent="0.25">
      <c r="A1" s="1" t="s">
        <v>142</v>
      </c>
    </row>
    <row r="2" spans="1:1" x14ac:dyDescent="0.25">
      <c r="A2" s="15" t="s">
        <v>143</v>
      </c>
    </row>
    <row r="4" spans="1:1" x14ac:dyDescent="0.25">
      <c r="A4" s="16" t="s">
        <v>144</v>
      </c>
    </row>
    <row r="5" spans="1:1" x14ac:dyDescent="0.25">
      <c r="A5" s="16" t="s">
        <v>145</v>
      </c>
    </row>
    <row r="6" spans="1:1" x14ac:dyDescent="0.25">
      <c r="A6" s="16" t="s">
        <v>146</v>
      </c>
    </row>
    <row r="7" spans="1:1" x14ac:dyDescent="0.25">
      <c r="A7" s="17" t="s">
        <v>147</v>
      </c>
    </row>
    <row r="8" spans="1:1" x14ac:dyDescent="0.25">
      <c r="A8" s="16" t="s">
        <v>148</v>
      </c>
    </row>
    <row r="9" spans="1:1" x14ac:dyDescent="0.25">
      <c r="A9" s="16" t="s">
        <v>149</v>
      </c>
    </row>
    <row r="10" spans="1:1" x14ac:dyDescent="0.25">
      <c r="A10" s="16" t="s">
        <v>150</v>
      </c>
    </row>
    <row r="11" spans="1:1" x14ac:dyDescent="0.25">
      <c r="A11" s="16" t="s">
        <v>151</v>
      </c>
    </row>
    <row r="12" spans="1:1" x14ac:dyDescent="0.25">
      <c r="A12" s="16" t="s">
        <v>152</v>
      </c>
    </row>
    <row r="14" spans="1:1" x14ac:dyDescent="0.25">
      <c r="A14" s="17" t="s">
        <v>153</v>
      </c>
    </row>
    <row r="16" spans="1:1" ht="16.5" x14ac:dyDescent="0.25">
      <c r="A16" s="1" t="s">
        <v>154</v>
      </c>
    </row>
    <row r="17" spans="1:6" x14ac:dyDescent="0.25">
      <c r="A17" s="2" t="s">
        <v>155</v>
      </c>
      <c r="B17" s="2" t="s">
        <v>114</v>
      </c>
      <c r="C17" s="2" t="s">
        <v>115</v>
      </c>
      <c r="D17" s="2" t="s">
        <v>156</v>
      </c>
      <c r="E17" s="2" t="s">
        <v>117</v>
      </c>
      <c r="F17" s="2" t="s">
        <v>157</v>
      </c>
    </row>
    <row r="18" spans="1:6" ht="25.5" x14ac:dyDescent="0.25">
      <c r="A18" s="10" t="s">
        <v>6</v>
      </c>
      <c r="B18" s="10" t="s">
        <v>119</v>
      </c>
      <c r="C18" s="10" t="s">
        <v>120</v>
      </c>
      <c r="D18" s="10" t="s">
        <v>121</v>
      </c>
      <c r="E18" s="10">
        <v>50</v>
      </c>
      <c r="F18" s="10" t="s">
        <v>158</v>
      </c>
    </row>
    <row r="19" spans="1:6" x14ac:dyDescent="0.25">
      <c r="A19" s="10" t="s">
        <v>7</v>
      </c>
      <c r="B19" s="10" t="s">
        <v>122</v>
      </c>
      <c r="C19" s="10" t="s">
        <v>120</v>
      </c>
      <c r="D19" s="10"/>
      <c r="E19" s="10"/>
      <c r="F19" s="10" t="s">
        <v>158</v>
      </c>
    </row>
    <row r="20" spans="1:6" x14ac:dyDescent="0.25">
      <c r="A20" s="10" t="s">
        <v>8</v>
      </c>
      <c r="B20" s="10" t="s">
        <v>123</v>
      </c>
      <c r="C20" s="10" t="s">
        <v>120</v>
      </c>
      <c r="D20" s="10" t="s">
        <v>121</v>
      </c>
      <c r="E20" s="10">
        <v>10</v>
      </c>
      <c r="F20" s="10" t="s">
        <v>158</v>
      </c>
    </row>
    <row r="21" spans="1:6" x14ac:dyDescent="0.25">
      <c r="A21" s="10" t="s">
        <v>9</v>
      </c>
      <c r="B21" s="10" t="s">
        <v>124</v>
      </c>
      <c r="C21" s="10" t="s">
        <v>120</v>
      </c>
      <c r="D21" s="10" t="s">
        <v>121</v>
      </c>
      <c r="E21" s="10">
        <v>40</v>
      </c>
      <c r="F21" s="10" t="s">
        <v>158</v>
      </c>
    </row>
    <row r="22" spans="1:6" x14ac:dyDescent="0.25">
      <c r="A22" s="10" t="s">
        <v>10</v>
      </c>
      <c r="B22" s="10" t="s">
        <v>125</v>
      </c>
      <c r="C22" s="10" t="s">
        <v>126</v>
      </c>
      <c r="D22" s="10" t="s">
        <v>121</v>
      </c>
      <c r="E22" s="10">
        <v>20</v>
      </c>
      <c r="F22" s="10" t="s">
        <v>159</v>
      </c>
    </row>
    <row r="23" spans="1:6" x14ac:dyDescent="0.25">
      <c r="A23" s="10" t="s">
        <v>11</v>
      </c>
      <c r="B23" s="10" t="s">
        <v>127</v>
      </c>
      <c r="C23" s="10" t="s">
        <v>126</v>
      </c>
      <c r="D23" s="10"/>
      <c r="E23" s="10"/>
      <c r="F23" s="10" t="s">
        <v>159</v>
      </c>
    </row>
    <row r="24" spans="1:6" x14ac:dyDescent="0.25">
      <c r="A24" s="10" t="s">
        <v>12</v>
      </c>
      <c r="B24" s="10" t="s">
        <v>128</v>
      </c>
      <c r="C24" s="10" t="s">
        <v>126</v>
      </c>
      <c r="D24" s="10"/>
      <c r="E24" s="10"/>
      <c r="F24" s="10" t="s">
        <v>159</v>
      </c>
    </row>
    <row r="25" spans="1:6" x14ac:dyDescent="0.25">
      <c r="A25" s="10" t="s">
        <v>13</v>
      </c>
      <c r="B25" s="10" t="s">
        <v>129</v>
      </c>
      <c r="C25" s="10" t="s">
        <v>126</v>
      </c>
      <c r="D25" s="10" t="s">
        <v>121</v>
      </c>
      <c r="E25" s="10">
        <v>20</v>
      </c>
      <c r="F25" s="10" t="s">
        <v>159</v>
      </c>
    </row>
    <row r="26" spans="1:6" x14ac:dyDescent="0.25">
      <c r="A26" s="10" t="s">
        <v>14</v>
      </c>
      <c r="B26" s="10" t="s">
        <v>130</v>
      </c>
      <c r="C26" s="10" t="s">
        <v>126</v>
      </c>
      <c r="D26" s="10"/>
      <c r="E26" s="10"/>
      <c r="F26" s="10" t="s">
        <v>159</v>
      </c>
    </row>
    <row r="27" spans="1:6" x14ac:dyDescent="0.25">
      <c r="A27" s="10" t="s">
        <v>15</v>
      </c>
      <c r="B27" s="10" t="s">
        <v>131</v>
      </c>
      <c r="C27" s="10" t="s">
        <v>126</v>
      </c>
      <c r="D27" s="10" t="s">
        <v>121</v>
      </c>
      <c r="E27" s="10">
        <v>40</v>
      </c>
      <c r="F27" s="10" t="s">
        <v>159</v>
      </c>
    </row>
    <row r="28" spans="1:6" x14ac:dyDescent="0.25">
      <c r="A28" s="10" t="s">
        <v>16</v>
      </c>
      <c r="B28" s="10" t="s">
        <v>132</v>
      </c>
      <c r="C28" s="10" t="s">
        <v>126</v>
      </c>
      <c r="D28" s="10"/>
      <c r="E28" s="10"/>
      <c r="F28" s="10" t="s">
        <v>159</v>
      </c>
    </row>
    <row r="29" spans="1:6" x14ac:dyDescent="0.25">
      <c r="A29" s="10" t="s">
        <v>17</v>
      </c>
      <c r="B29" s="10" t="s">
        <v>133</v>
      </c>
      <c r="C29" s="10" t="s">
        <v>126</v>
      </c>
      <c r="D29" s="10"/>
      <c r="E29" s="10"/>
      <c r="F29" s="10" t="s">
        <v>159</v>
      </c>
    </row>
    <row r="30" spans="1:6" x14ac:dyDescent="0.25">
      <c r="A30" s="10" t="s">
        <v>18</v>
      </c>
      <c r="B30" s="10" t="s">
        <v>134</v>
      </c>
      <c r="C30" s="10" t="s">
        <v>126</v>
      </c>
      <c r="D30" s="10" t="s">
        <v>121</v>
      </c>
      <c r="E30" s="10">
        <v>10</v>
      </c>
      <c r="F30" s="10" t="s">
        <v>159</v>
      </c>
    </row>
    <row r="31" spans="1:6" x14ac:dyDescent="0.25">
      <c r="A31" s="10" t="s">
        <v>19</v>
      </c>
      <c r="B31" s="10" t="s">
        <v>135</v>
      </c>
      <c r="C31" s="10" t="s">
        <v>126</v>
      </c>
      <c r="D31" s="10" t="s">
        <v>121</v>
      </c>
      <c r="E31" s="10">
        <v>10</v>
      </c>
      <c r="F31" s="10" t="s">
        <v>159</v>
      </c>
    </row>
    <row r="32" spans="1:6" x14ac:dyDescent="0.25">
      <c r="A32" s="10" t="s">
        <v>20</v>
      </c>
      <c r="B32" s="10" t="s">
        <v>136</v>
      </c>
      <c r="C32" s="10" t="s">
        <v>126</v>
      </c>
      <c r="D32" s="10"/>
      <c r="E32" s="10"/>
      <c r="F32" s="10" t="s">
        <v>159</v>
      </c>
    </row>
    <row r="33" spans="1:6" x14ac:dyDescent="0.25">
      <c r="A33" s="10" t="s">
        <v>21</v>
      </c>
      <c r="B33" s="10" t="s">
        <v>137</v>
      </c>
      <c r="C33" s="10" t="s">
        <v>126</v>
      </c>
      <c r="D33" s="10"/>
      <c r="E33" s="10"/>
      <c r="F33" s="10" t="s">
        <v>159</v>
      </c>
    </row>
    <row r="34" spans="1:6" ht="25.5" x14ac:dyDescent="0.25">
      <c r="A34" s="10" t="s">
        <v>22</v>
      </c>
      <c r="B34" s="10" t="s">
        <v>138</v>
      </c>
      <c r="C34" s="10" t="s">
        <v>126</v>
      </c>
      <c r="D34" s="10"/>
      <c r="E34" s="10"/>
      <c r="F34" s="10" t="s">
        <v>159</v>
      </c>
    </row>
    <row r="35" spans="1:6" x14ac:dyDescent="0.25">
      <c r="A35" s="10" t="s">
        <v>23</v>
      </c>
      <c r="B35" s="10" t="s">
        <v>139</v>
      </c>
      <c r="C35" s="10" t="s">
        <v>126</v>
      </c>
      <c r="D35" s="10"/>
      <c r="E35" s="10"/>
      <c r="F35" s="10" t="s">
        <v>159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workbookViewId="0"/>
  </sheetViews>
  <sheetFormatPr defaultRowHeight="15" x14ac:dyDescent="0.25"/>
  <sheetData>
    <row r="1" spans="1:2" x14ac:dyDescent="0.25">
      <c r="A1" s="16" t="s">
        <v>160</v>
      </c>
      <c r="B1" s="16" t="s">
        <v>161</v>
      </c>
    </row>
    <row r="2" spans="1:2" x14ac:dyDescent="0.25">
      <c r="A2" s="16" t="s">
        <v>162</v>
      </c>
      <c r="B2" s="16">
        <v>1</v>
      </c>
    </row>
    <row r="3" spans="1:2" x14ac:dyDescent="0.25">
      <c r="A3" s="16" t="s">
        <v>163</v>
      </c>
      <c r="B3" s="16" t="s">
        <v>164</v>
      </c>
    </row>
    <row r="4" spans="1:2" x14ac:dyDescent="0.25">
      <c r="A4" s="16" t="s">
        <v>165</v>
      </c>
      <c r="B4" s="16" t="s">
        <v>166</v>
      </c>
    </row>
    <row r="5" spans="1:2" x14ac:dyDescent="0.25">
      <c r="A5" s="16" t="s">
        <v>167</v>
      </c>
      <c r="B5" s="16" t="s">
        <v>168</v>
      </c>
    </row>
    <row r="6" spans="1:2" x14ac:dyDescent="0.25">
      <c r="A6" s="16" t="s">
        <v>120</v>
      </c>
      <c r="B6" s="16" t="s">
        <v>169</v>
      </c>
    </row>
    <row r="7" spans="1:2" x14ac:dyDescent="0.25">
      <c r="A7" s="16" t="s">
        <v>170</v>
      </c>
      <c r="B7" s="16" t="s">
        <v>171</v>
      </c>
    </row>
    <row r="8" spans="1:2" x14ac:dyDescent="0.25">
      <c r="A8" s="16" t="s">
        <v>172</v>
      </c>
      <c r="B8" s="16" t="s">
        <v>173</v>
      </c>
    </row>
    <row r="9" spans="1:2" x14ac:dyDescent="0.25">
      <c r="A9" s="16" t="s">
        <v>174</v>
      </c>
      <c r="B9" s="16" t="s">
        <v>175</v>
      </c>
    </row>
    <row r="10" spans="1:2" x14ac:dyDescent="0.25">
      <c r="A10" s="16" t="s">
        <v>176</v>
      </c>
      <c r="B10" s="16" t="s">
        <v>2</v>
      </c>
    </row>
    <row r="11" spans="1:2" x14ac:dyDescent="0.25">
      <c r="A11" s="16" t="s">
        <v>177</v>
      </c>
      <c r="B11" s="16" t="s">
        <v>178</v>
      </c>
    </row>
    <row r="12" spans="1:2" x14ac:dyDescent="0.25">
      <c r="A12" s="16" t="s">
        <v>179</v>
      </c>
      <c r="B12" s="16">
        <v>18</v>
      </c>
    </row>
    <row r="13" spans="1:2" x14ac:dyDescent="0.25">
      <c r="A13" s="16" t="s">
        <v>180</v>
      </c>
      <c r="B13" s="16" t="s">
        <v>181</v>
      </c>
    </row>
    <row r="14" spans="1:2" x14ac:dyDescent="0.25">
      <c r="A14" s="16" t="s">
        <v>182</v>
      </c>
      <c r="B14" s="16" t="s">
        <v>183</v>
      </c>
    </row>
    <row r="15" spans="1:2" x14ac:dyDescent="0.25">
      <c r="A15" s="16" t="s">
        <v>184</v>
      </c>
      <c r="B15" s="16" t="s">
        <v>185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2021-2025</vt:lpstr>
      <vt:lpstr>2026-2030</vt:lpstr>
      <vt:lpstr>WEIGHTS</vt:lpstr>
      <vt:lpstr>README</vt:lpstr>
      <vt:lpstr>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2026-08-29T10:27:24Z</dcterms:created>
  <dcterms:modified xsi:type="dcterms:W3CDTF">2026-09-14T07:51:02Z</dcterms:modified>
</cp:coreProperties>
</file>